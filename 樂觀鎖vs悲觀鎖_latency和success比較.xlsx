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_PLUS_PLUS\OneDrive - 國立宜蘭大學\桌面\"/>
    </mc:Choice>
  </mc:AlternateContent>
  <xr:revisionPtr revIDLastSave="0" documentId="13_ncr:1_{76CA35EB-7701-4D56-8685-7FB7FFEE2614}" xr6:coauthVersionLast="47" xr6:coauthVersionMax="47" xr10:uidLastSave="{00000000-0000-0000-0000-000000000000}"/>
  <bookViews>
    <workbookView xWindow="-110" yWindow="-110" windowWidth="19420" windowHeight="11500" xr2:uid="{F01D606E-BB94-430C-8C62-AE16A2C5214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7" i="1" l="1"/>
  <c r="G47" i="1"/>
  <c r="H47" i="1"/>
  <c r="I47" i="1"/>
  <c r="J47" i="1"/>
  <c r="K47" i="1"/>
  <c r="L47" i="1"/>
  <c r="M47" i="1"/>
  <c r="E47" i="1"/>
  <c r="F31" i="1"/>
  <c r="G31" i="1"/>
  <c r="H31" i="1"/>
  <c r="I31" i="1"/>
  <c r="J31" i="1"/>
  <c r="K31" i="1"/>
  <c r="L31" i="1"/>
  <c r="M31" i="1"/>
  <c r="E31" i="1"/>
  <c r="F39" i="1"/>
  <c r="G39" i="1"/>
  <c r="H39" i="1"/>
  <c r="I39" i="1"/>
  <c r="J39" i="1"/>
  <c r="K39" i="1"/>
  <c r="L39" i="1"/>
  <c r="M39" i="1"/>
  <c r="E39" i="1"/>
  <c r="F15" i="1"/>
  <c r="G15" i="1"/>
  <c r="H15" i="1"/>
  <c r="I15" i="1"/>
  <c r="J15" i="1"/>
  <c r="K15" i="1"/>
  <c r="L15" i="1"/>
  <c r="M15" i="1"/>
  <c r="E15" i="1"/>
  <c r="D43" i="1"/>
  <c r="D44" i="1"/>
  <c r="D45" i="1"/>
  <c r="D46" i="1"/>
  <c r="D42" i="1"/>
  <c r="C47" i="1"/>
  <c r="B47" i="1"/>
  <c r="D35" i="1"/>
  <c r="D36" i="1"/>
  <c r="D37" i="1"/>
  <c r="D38" i="1"/>
  <c r="D34" i="1"/>
  <c r="C39" i="1"/>
  <c r="B39" i="1"/>
  <c r="C31" i="1"/>
  <c r="D27" i="1"/>
  <c r="D31" i="1" s="1"/>
  <c r="D28" i="1"/>
  <c r="D29" i="1"/>
  <c r="D30" i="1"/>
  <c r="D26" i="1"/>
  <c r="B31" i="1"/>
  <c r="B23" i="1"/>
  <c r="F23" i="1"/>
  <c r="G23" i="1"/>
  <c r="H23" i="1"/>
  <c r="I23" i="1"/>
  <c r="J23" i="1"/>
  <c r="K23" i="1"/>
  <c r="L23" i="1"/>
  <c r="M23" i="1"/>
  <c r="E23" i="1"/>
  <c r="D19" i="1"/>
  <c r="D20" i="1"/>
  <c r="D21" i="1"/>
  <c r="D22" i="1"/>
  <c r="D18" i="1"/>
  <c r="C23" i="1"/>
  <c r="D23" i="1"/>
  <c r="D11" i="1"/>
  <c r="D15" i="1" s="1"/>
  <c r="D12" i="1"/>
  <c r="D13" i="1"/>
  <c r="D14" i="1"/>
  <c r="D10" i="1"/>
  <c r="C15" i="1"/>
  <c r="B15" i="1"/>
  <c r="B7" i="1"/>
  <c r="C7" i="1"/>
  <c r="F7" i="1"/>
  <c r="G7" i="1"/>
  <c r="H7" i="1"/>
  <c r="I7" i="1"/>
  <c r="J7" i="1"/>
  <c r="K7" i="1"/>
  <c r="L7" i="1"/>
  <c r="M7" i="1"/>
  <c r="E7" i="1"/>
  <c r="D3" i="1"/>
  <c r="D4" i="1"/>
  <c r="D5" i="1"/>
  <c r="D6" i="1"/>
  <c r="D7" i="1"/>
  <c r="D2" i="1"/>
  <c r="D47" i="1" l="1"/>
  <c r="D39" i="1"/>
</calcChain>
</file>

<file path=xl/sharedStrings.xml><?xml version="1.0" encoding="utf-8"?>
<sst xmlns="http://schemas.openxmlformats.org/spreadsheetml/2006/main" count="24" uniqueCount="19">
  <si>
    <t>SUCCESS</t>
    <phoneticPr fontId="1" type="noConversion"/>
  </si>
  <si>
    <t>CONFLICT_TRY_AGAIN</t>
    <phoneticPr fontId="1" type="noConversion"/>
  </si>
  <si>
    <t>成功發出優惠券比例(SUCCESS/Issue)</t>
    <phoneticPr fontId="1" type="noConversion"/>
  </si>
  <si>
    <t>average_latency</t>
    <phoneticPr fontId="1" type="noConversion"/>
  </si>
  <si>
    <t>median_latency</t>
    <phoneticPr fontId="1" type="noConversion"/>
  </si>
  <si>
    <t>90%_latency</t>
    <phoneticPr fontId="1" type="noConversion"/>
  </si>
  <si>
    <t>95%_latency</t>
    <phoneticPr fontId="1" type="noConversion"/>
  </si>
  <si>
    <t>99%_latency</t>
    <phoneticPr fontId="1" type="noConversion"/>
  </si>
  <si>
    <t>min_latency</t>
    <phoneticPr fontId="1" type="noConversion"/>
  </si>
  <si>
    <t>max_latency</t>
    <phoneticPr fontId="1" type="noConversion"/>
  </si>
  <si>
    <t>error rate</t>
    <phoneticPr fontId="1" type="noConversion"/>
  </si>
  <si>
    <t>throughtput</t>
    <phoneticPr fontId="1" type="noConversion"/>
  </si>
  <si>
    <t>平均</t>
    <phoneticPr fontId="1" type="noConversion"/>
  </si>
  <si>
    <t>OptimisticLock/issue100/request100</t>
    <phoneticPr fontId="1" type="noConversion"/>
  </si>
  <si>
    <t>PessimisticLock/issue100/request100</t>
    <phoneticPr fontId="1" type="noConversion"/>
  </si>
  <si>
    <t>OptimisticLock/issue500/request500</t>
    <phoneticPr fontId="1" type="noConversion"/>
  </si>
  <si>
    <t>OptimisticLock/issue1000/request1000</t>
    <phoneticPr fontId="1" type="noConversion"/>
  </si>
  <si>
    <t>PessimisticLock/issue500/request500</t>
    <phoneticPr fontId="1" type="noConversion"/>
  </si>
  <si>
    <t>PessimisticLock/issue1000/request1000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</si>
</sst>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1" applyFont="1">
      <alignment vertical="center"/>
    </xf>
    <xf numFmtId="176" fontId="0" fillId="0" borderId="0" xfId="1" applyNumberFormat="1" applyFont="1">
      <alignment vertical="center"/>
    </xf>
    <xf numFmtId="0" fontId="0" fillId="0" borderId="0" xfId="0" applyNumberForma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AD4D-A2E9-4686-BBF3-FA032F1A0BAF}">
  <dimension ref="A1:M47"/>
  <sheetViews>
    <sheetView tabSelected="1" topLeftCell="C1" workbookViewId="0">
      <selection activeCell="D12" sqref="D12"/>
    </sheetView>
  </sheetViews>
  <sheetFormatPr defaultRowHeight="17" x14ac:dyDescent="0.4"/>
  <cols>
    <col min="1" max="1" width="35.7265625" bestFit="1" customWidth="1"/>
    <col min="2" max="2" width="10.26953125" bestFit="1" customWidth="1"/>
    <col min="3" max="3" width="25.08984375" bestFit="1" customWidth="1"/>
    <col min="4" max="4" width="38.26953125" bestFit="1" customWidth="1"/>
    <col min="5" max="5" width="14.81640625" bestFit="1" customWidth="1"/>
    <col min="6" max="6" width="14.453125" bestFit="1" customWidth="1"/>
    <col min="7" max="9" width="12" bestFit="1" customWidth="1"/>
    <col min="10" max="10" width="11.36328125" bestFit="1" customWidth="1"/>
    <col min="11" max="11" width="11.81640625" bestFit="1" customWidth="1"/>
    <col min="12" max="12" width="9" bestFit="1" customWidth="1"/>
    <col min="13" max="13" width="10.7265625" bestFit="1" customWidth="1"/>
  </cols>
  <sheetData>
    <row r="1" spans="1:13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">
      <c r="A2" t="s">
        <v>13</v>
      </c>
      <c r="B2">
        <v>100</v>
      </c>
      <c r="C2">
        <v>0</v>
      </c>
      <c r="D2" s="2">
        <f>B2/100</f>
        <v>1</v>
      </c>
      <c r="E2">
        <v>21</v>
      </c>
      <c r="F2">
        <v>12</v>
      </c>
      <c r="G2">
        <v>38</v>
      </c>
      <c r="H2">
        <v>74</v>
      </c>
      <c r="I2">
        <v>147</v>
      </c>
      <c r="J2">
        <v>8</v>
      </c>
      <c r="K2">
        <v>224</v>
      </c>
      <c r="L2" s="1">
        <v>0</v>
      </c>
      <c r="M2">
        <v>97</v>
      </c>
    </row>
    <row r="3" spans="1:13" x14ac:dyDescent="0.4">
      <c r="B3">
        <v>100</v>
      </c>
      <c r="C3">
        <v>0</v>
      </c>
      <c r="D3" s="2">
        <f t="shared" ref="D3:D7" si="0">B3/100</f>
        <v>1</v>
      </c>
      <c r="E3">
        <v>12</v>
      </c>
      <c r="F3">
        <v>12</v>
      </c>
      <c r="G3">
        <v>15</v>
      </c>
      <c r="H3">
        <v>16</v>
      </c>
      <c r="I3">
        <v>17</v>
      </c>
      <c r="J3">
        <v>8</v>
      </c>
      <c r="K3">
        <v>22</v>
      </c>
      <c r="L3" s="1">
        <v>0</v>
      </c>
      <c r="M3">
        <v>99</v>
      </c>
    </row>
    <row r="4" spans="1:13" x14ac:dyDescent="0.4">
      <c r="B4">
        <v>100</v>
      </c>
      <c r="C4">
        <v>0</v>
      </c>
      <c r="D4" s="2">
        <f t="shared" si="0"/>
        <v>1</v>
      </c>
      <c r="E4">
        <v>12</v>
      </c>
      <c r="F4">
        <v>11</v>
      </c>
      <c r="G4">
        <v>15</v>
      </c>
      <c r="H4">
        <v>16</v>
      </c>
      <c r="I4">
        <v>20</v>
      </c>
      <c r="J4">
        <v>7</v>
      </c>
      <c r="K4">
        <v>61</v>
      </c>
      <c r="L4" s="1">
        <v>0</v>
      </c>
      <c r="M4">
        <v>100</v>
      </c>
    </row>
    <row r="5" spans="1:13" x14ac:dyDescent="0.4">
      <c r="B5">
        <v>100</v>
      </c>
      <c r="C5">
        <v>0</v>
      </c>
      <c r="D5" s="2">
        <f t="shared" si="0"/>
        <v>1</v>
      </c>
      <c r="E5">
        <v>12</v>
      </c>
      <c r="F5">
        <v>12</v>
      </c>
      <c r="G5">
        <v>15</v>
      </c>
      <c r="H5">
        <v>16</v>
      </c>
      <c r="I5">
        <v>21</v>
      </c>
      <c r="J5">
        <v>8</v>
      </c>
      <c r="K5">
        <v>89</v>
      </c>
      <c r="L5" s="1">
        <v>0</v>
      </c>
      <c r="M5">
        <v>100</v>
      </c>
    </row>
    <row r="6" spans="1:13" x14ac:dyDescent="0.4">
      <c r="B6">
        <v>100</v>
      </c>
      <c r="C6">
        <v>0</v>
      </c>
      <c r="D6" s="2">
        <f t="shared" si="0"/>
        <v>1</v>
      </c>
      <c r="E6">
        <v>13</v>
      </c>
      <c r="F6">
        <v>13</v>
      </c>
      <c r="G6">
        <v>15</v>
      </c>
      <c r="H6">
        <v>17</v>
      </c>
      <c r="I6">
        <v>44</v>
      </c>
      <c r="J6">
        <v>8</v>
      </c>
      <c r="K6">
        <v>73</v>
      </c>
      <c r="L6" s="1">
        <v>0</v>
      </c>
      <c r="M6">
        <v>100</v>
      </c>
    </row>
    <row r="7" spans="1:13" x14ac:dyDescent="0.4">
      <c r="A7" t="s">
        <v>12</v>
      </c>
      <c r="B7">
        <f>SUM(B2:B6)/5</f>
        <v>100</v>
      </c>
      <c r="C7">
        <f>SUM(C2:C6)/5</f>
        <v>0</v>
      </c>
      <c r="D7" s="2">
        <f t="shared" si="0"/>
        <v>1</v>
      </c>
      <c r="E7">
        <f>SUM(E2:E6)/5</f>
        <v>14</v>
      </c>
      <c r="F7">
        <f t="shared" ref="F7:M7" si="1">SUM(F2:F6)/5</f>
        <v>12</v>
      </c>
      <c r="G7">
        <f t="shared" si="1"/>
        <v>19.600000000000001</v>
      </c>
      <c r="H7">
        <f t="shared" si="1"/>
        <v>27.8</v>
      </c>
      <c r="I7">
        <f t="shared" si="1"/>
        <v>49.8</v>
      </c>
      <c r="J7">
        <f t="shared" si="1"/>
        <v>7.8</v>
      </c>
      <c r="K7">
        <f t="shared" si="1"/>
        <v>93.8</v>
      </c>
      <c r="L7" s="1">
        <f t="shared" si="1"/>
        <v>0</v>
      </c>
      <c r="M7">
        <f t="shared" si="1"/>
        <v>99.2</v>
      </c>
    </row>
    <row r="10" spans="1:13" x14ac:dyDescent="0.4">
      <c r="A10" t="s">
        <v>15</v>
      </c>
      <c r="B10">
        <v>445</v>
      </c>
      <c r="C10">
        <v>55</v>
      </c>
      <c r="D10" s="2">
        <f>B10/500</f>
        <v>0.89</v>
      </c>
      <c r="E10">
        <v>118</v>
      </c>
      <c r="F10">
        <v>96</v>
      </c>
      <c r="G10">
        <v>217</v>
      </c>
      <c r="H10">
        <v>278</v>
      </c>
      <c r="I10">
        <v>343</v>
      </c>
      <c r="J10">
        <v>8</v>
      </c>
      <c r="K10">
        <v>381</v>
      </c>
      <c r="L10" s="1">
        <v>0</v>
      </c>
      <c r="M10">
        <v>315</v>
      </c>
    </row>
    <row r="11" spans="1:13" x14ac:dyDescent="0.4">
      <c r="B11">
        <v>445</v>
      </c>
      <c r="C11">
        <v>55</v>
      </c>
      <c r="D11" s="2">
        <f t="shared" ref="D11:D14" si="2">B11/500</f>
        <v>0.89</v>
      </c>
      <c r="E11">
        <v>239</v>
      </c>
      <c r="F11">
        <v>235</v>
      </c>
      <c r="G11">
        <v>406</v>
      </c>
      <c r="H11">
        <v>505</v>
      </c>
      <c r="I11">
        <v>670</v>
      </c>
      <c r="J11">
        <v>7</v>
      </c>
      <c r="K11">
        <v>835</v>
      </c>
      <c r="L11" s="1">
        <v>0</v>
      </c>
      <c r="M11">
        <v>331</v>
      </c>
    </row>
    <row r="12" spans="1:13" x14ac:dyDescent="0.4">
      <c r="B12">
        <v>435</v>
      </c>
      <c r="C12">
        <v>65</v>
      </c>
      <c r="D12" s="2">
        <f t="shared" si="2"/>
        <v>0.87</v>
      </c>
      <c r="E12">
        <v>396</v>
      </c>
      <c r="F12">
        <v>245</v>
      </c>
      <c r="G12">
        <v>1046</v>
      </c>
      <c r="H12">
        <v>1104</v>
      </c>
      <c r="I12">
        <v>1236</v>
      </c>
      <c r="J12">
        <v>9</v>
      </c>
      <c r="K12">
        <v>1412</v>
      </c>
      <c r="L12" s="1">
        <v>0</v>
      </c>
      <c r="M12">
        <v>203</v>
      </c>
    </row>
    <row r="13" spans="1:13" x14ac:dyDescent="0.4">
      <c r="B13">
        <v>437</v>
      </c>
      <c r="C13">
        <v>63</v>
      </c>
      <c r="D13" s="2">
        <f t="shared" si="2"/>
        <v>0.874</v>
      </c>
      <c r="E13">
        <v>264</v>
      </c>
      <c r="F13">
        <v>243</v>
      </c>
      <c r="G13">
        <v>464</v>
      </c>
      <c r="H13">
        <v>547</v>
      </c>
      <c r="I13">
        <v>724</v>
      </c>
      <c r="J13">
        <v>9</v>
      </c>
      <c r="K13">
        <v>1086</v>
      </c>
      <c r="L13" s="1">
        <v>0</v>
      </c>
      <c r="M13">
        <v>287</v>
      </c>
    </row>
    <row r="14" spans="1:13" x14ac:dyDescent="0.4">
      <c r="B14">
        <v>429</v>
      </c>
      <c r="C14">
        <v>71</v>
      </c>
      <c r="D14" s="2">
        <f t="shared" si="2"/>
        <v>0.85799999999999998</v>
      </c>
      <c r="E14">
        <v>340</v>
      </c>
      <c r="F14">
        <v>364</v>
      </c>
      <c r="G14">
        <v>636</v>
      </c>
      <c r="H14">
        <v>698</v>
      </c>
      <c r="I14">
        <v>923</v>
      </c>
      <c r="J14">
        <v>8</v>
      </c>
      <c r="K14">
        <v>1113</v>
      </c>
      <c r="L14" s="1">
        <v>0</v>
      </c>
      <c r="M14">
        <v>264</v>
      </c>
    </row>
    <row r="15" spans="1:13" x14ac:dyDescent="0.4">
      <c r="A15" t="s">
        <v>12</v>
      </c>
      <c r="B15">
        <f>SUM(B10:B14)/5</f>
        <v>438.2</v>
      </c>
      <c r="C15">
        <f>SUM(C10:C14)/5</f>
        <v>61.8</v>
      </c>
      <c r="D15" s="2">
        <f>SUM(D10:D14)/5</f>
        <v>0.87639999999999996</v>
      </c>
      <c r="E15">
        <f>SUM(E10:E14)/5</f>
        <v>271.39999999999998</v>
      </c>
      <c r="F15">
        <f t="shared" ref="F15:M15" si="3">SUM(F10:F14)/5</f>
        <v>236.6</v>
      </c>
      <c r="G15">
        <f t="shared" si="3"/>
        <v>553.79999999999995</v>
      </c>
      <c r="H15">
        <f t="shared" si="3"/>
        <v>626.4</v>
      </c>
      <c r="I15">
        <f t="shared" si="3"/>
        <v>779.2</v>
      </c>
      <c r="J15">
        <f t="shared" si="3"/>
        <v>8.1999999999999993</v>
      </c>
      <c r="K15">
        <f t="shared" si="3"/>
        <v>965.4</v>
      </c>
      <c r="L15" s="1">
        <f t="shared" si="3"/>
        <v>0</v>
      </c>
      <c r="M15">
        <f t="shared" si="3"/>
        <v>280</v>
      </c>
    </row>
    <row r="18" spans="1:13" x14ac:dyDescent="0.4">
      <c r="A18" t="s">
        <v>16</v>
      </c>
      <c r="B18">
        <v>864</v>
      </c>
      <c r="C18">
        <v>136</v>
      </c>
      <c r="D18" s="2">
        <f>B18/1000</f>
        <v>0.86399999999999999</v>
      </c>
      <c r="E18">
        <v>721</v>
      </c>
      <c r="F18">
        <v>628</v>
      </c>
      <c r="G18">
        <v>1413</v>
      </c>
      <c r="H18">
        <v>1534</v>
      </c>
      <c r="I18">
        <v>1730</v>
      </c>
      <c r="J18">
        <v>9</v>
      </c>
      <c r="K18">
        <v>2164</v>
      </c>
      <c r="L18" s="1">
        <v>0</v>
      </c>
      <c r="M18">
        <v>298</v>
      </c>
    </row>
    <row r="19" spans="1:13" x14ac:dyDescent="0.4">
      <c r="B19">
        <v>876</v>
      </c>
      <c r="C19">
        <v>124</v>
      </c>
      <c r="D19" s="2">
        <f t="shared" ref="D19:D22" si="4">B19/1000</f>
        <v>0.876</v>
      </c>
      <c r="E19">
        <v>657</v>
      </c>
      <c r="F19">
        <v>572</v>
      </c>
      <c r="G19">
        <v>1248</v>
      </c>
      <c r="H19">
        <v>1341</v>
      </c>
      <c r="I19">
        <v>1503</v>
      </c>
      <c r="J19">
        <v>8</v>
      </c>
      <c r="K19">
        <v>1961</v>
      </c>
      <c r="L19" s="1">
        <v>0</v>
      </c>
      <c r="M19">
        <v>300</v>
      </c>
    </row>
    <row r="20" spans="1:13" x14ac:dyDescent="0.4">
      <c r="B20">
        <v>899</v>
      </c>
      <c r="C20">
        <v>101</v>
      </c>
      <c r="D20" s="2">
        <f t="shared" si="4"/>
        <v>0.89900000000000002</v>
      </c>
      <c r="E20">
        <v>992</v>
      </c>
      <c r="F20">
        <v>956</v>
      </c>
      <c r="G20">
        <v>2071</v>
      </c>
      <c r="H20">
        <v>2198</v>
      </c>
      <c r="I20">
        <v>2301</v>
      </c>
      <c r="J20">
        <v>11</v>
      </c>
      <c r="K20">
        <v>2504</v>
      </c>
      <c r="L20" s="1">
        <v>0</v>
      </c>
      <c r="M20">
        <v>286</v>
      </c>
    </row>
    <row r="21" spans="1:13" x14ac:dyDescent="0.4">
      <c r="B21">
        <v>871</v>
      </c>
      <c r="C21">
        <v>129</v>
      </c>
      <c r="D21" s="2">
        <f t="shared" si="4"/>
        <v>0.871</v>
      </c>
      <c r="E21">
        <v>739</v>
      </c>
      <c r="F21">
        <v>680</v>
      </c>
      <c r="G21">
        <v>1536</v>
      </c>
      <c r="H21">
        <v>1646</v>
      </c>
      <c r="I21">
        <v>1810</v>
      </c>
      <c r="J21">
        <v>10</v>
      </c>
      <c r="K21">
        <v>2190</v>
      </c>
      <c r="L21" s="1">
        <v>0</v>
      </c>
      <c r="M21">
        <v>279</v>
      </c>
    </row>
    <row r="22" spans="1:13" x14ac:dyDescent="0.4">
      <c r="B22">
        <v>881</v>
      </c>
      <c r="C22">
        <v>119</v>
      </c>
      <c r="D22" s="2">
        <f t="shared" si="4"/>
        <v>0.88100000000000001</v>
      </c>
      <c r="E22">
        <v>449</v>
      </c>
      <c r="F22">
        <v>363</v>
      </c>
      <c r="G22">
        <v>890</v>
      </c>
      <c r="H22">
        <v>946</v>
      </c>
      <c r="I22">
        <v>1195</v>
      </c>
      <c r="J22">
        <v>9</v>
      </c>
      <c r="K22">
        <v>1721</v>
      </c>
      <c r="L22" s="1">
        <v>0</v>
      </c>
      <c r="M22">
        <v>311</v>
      </c>
    </row>
    <row r="23" spans="1:13" x14ac:dyDescent="0.4">
      <c r="A23" t="s">
        <v>12</v>
      </c>
      <c r="B23">
        <f>SUM(B18:B22)/5</f>
        <v>878.2</v>
      </c>
      <c r="C23">
        <f t="shared" ref="C23:D23" si="5">SUM(C18:C22)/5</f>
        <v>121.8</v>
      </c>
      <c r="D23" s="2">
        <f t="shared" si="5"/>
        <v>0.87819999999999998</v>
      </c>
      <c r="E23">
        <f>SUM(E18:E22)/5</f>
        <v>711.6</v>
      </c>
      <c r="F23">
        <f t="shared" ref="F23:M23" si="6">SUM(F18:F22)/5</f>
        <v>639.79999999999995</v>
      </c>
      <c r="G23">
        <f t="shared" si="6"/>
        <v>1431.6</v>
      </c>
      <c r="H23">
        <f t="shared" si="6"/>
        <v>1533</v>
      </c>
      <c r="I23">
        <f t="shared" si="6"/>
        <v>1707.8</v>
      </c>
      <c r="J23">
        <f t="shared" si="6"/>
        <v>9.4</v>
      </c>
      <c r="K23">
        <f t="shared" si="6"/>
        <v>2108</v>
      </c>
      <c r="L23" s="1">
        <f t="shared" si="6"/>
        <v>0</v>
      </c>
      <c r="M23">
        <f t="shared" si="6"/>
        <v>294.8</v>
      </c>
    </row>
    <row r="26" spans="1:13" x14ac:dyDescent="0.4">
      <c r="A26" t="s">
        <v>14</v>
      </c>
      <c r="B26">
        <v>100</v>
      </c>
      <c r="C26">
        <v>0</v>
      </c>
      <c r="D26" s="2">
        <f>B26/100</f>
        <v>1</v>
      </c>
      <c r="E26">
        <v>65</v>
      </c>
      <c r="F26">
        <v>30</v>
      </c>
      <c r="G26">
        <v>151</v>
      </c>
      <c r="H26">
        <v>174</v>
      </c>
      <c r="I26">
        <v>207</v>
      </c>
      <c r="J26">
        <v>15</v>
      </c>
      <c r="K26">
        <v>207</v>
      </c>
      <c r="L26" s="1">
        <v>0</v>
      </c>
      <c r="M26">
        <v>89</v>
      </c>
    </row>
    <row r="27" spans="1:13" x14ac:dyDescent="0.4">
      <c r="B27">
        <v>100</v>
      </c>
      <c r="C27">
        <v>0</v>
      </c>
      <c r="D27" s="2">
        <f t="shared" ref="D27:D30" si="7">B27/100</f>
        <v>1</v>
      </c>
      <c r="E27">
        <v>18</v>
      </c>
      <c r="F27">
        <v>16</v>
      </c>
      <c r="G27">
        <v>28</v>
      </c>
      <c r="H27">
        <v>33</v>
      </c>
      <c r="I27">
        <v>44</v>
      </c>
      <c r="J27">
        <v>11</v>
      </c>
      <c r="K27">
        <v>57</v>
      </c>
      <c r="L27" s="1">
        <v>0</v>
      </c>
      <c r="M27">
        <v>99</v>
      </c>
    </row>
    <row r="28" spans="1:13" x14ac:dyDescent="0.4">
      <c r="B28">
        <v>100</v>
      </c>
      <c r="C28">
        <v>0</v>
      </c>
      <c r="D28" s="2">
        <f t="shared" si="7"/>
        <v>1</v>
      </c>
      <c r="E28">
        <v>251</v>
      </c>
      <c r="F28">
        <v>19</v>
      </c>
      <c r="G28">
        <v>706</v>
      </c>
      <c r="H28">
        <v>739</v>
      </c>
      <c r="I28">
        <v>844</v>
      </c>
      <c r="J28">
        <v>13</v>
      </c>
      <c r="K28">
        <v>867</v>
      </c>
      <c r="L28" s="1">
        <v>0</v>
      </c>
      <c r="M28">
        <v>61</v>
      </c>
    </row>
    <row r="29" spans="1:13" x14ac:dyDescent="0.4">
      <c r="B29">
        <v>100</v>
      </c>
      <c r="C29">
        <v>0</v>
      </c>
      <c r="D29" s="2">
        <f t="shared" si="7"/>
        <v>1</v>
      </c>
      <c r="E29">
        <v>13</v>
      </c>
      <c r="F29">
        <v>13</v>
      </c>
      <c r="G29">
        <v>16</v>
      </c>
      <c r="H29">
        <v>17</v>
      </c>
      <c r="I29">
        <v>22</v>
      </c>
      <c r="J29">
        <v>10</v>
      </c>
      <c r="K29">
        <v>24</v>
      </c>
      <c r="L29" s="1">
        <v>0</v>
      </c>
      <c r="M29">
        <v>99</v>
      </c>
    </row>
    <row r="30" spans="1:13" x14ac:dyDescent="0.4">
      <c r="B30">
        <v>100</v>
      </c>
      <c r="C30">
        <v>0</v>
      </c>
      <c r="D30" s="2">
        <f t="shared" si="7"/>
        <v>1</v>
      </c>
      <c r="E30">
        <v>126</v>
      </c>
      <c r="F30">
        <v>49</v>
      </c>
      <c r="G30">
        <v>326</v>
      </c>
      <c r="H30">
        <v>377</v>
      </c>
      <c r="I30">
        <v>521</v>
      </c>
      <c r="J30">
        <v>8</v>
      </c>
      <c r="K30">
        <v>563</v>
      </c>
      <c r="L30" s="1">
        <v>0</v>
      </c>
      <c r="M30">
        <v>64</v>
      </c>
    </row>
    <row r="31" spans="1:13" x14ac:dyDescent="0.4">
      <c r="A31" t="s">
        <v>12</v>
      </c>
      <c r="B31">
        <f>SUM(B26:B30)/5</f>
        <v>100</v>
      </c>
      <c r="C31">
        <f t="shared" ref="C31:D31" si="8">SUM(C26:C30)/5</f>
        <v>0</v>
      </c>
      <c r="D31" s="2">
        <f t="shared" si="8"/>
        <v>1</v>
      </c>
      <c r="E31">
        <f>SUM(E26:E30)/5</f>
        <v>94.6</v>
      </c>
      <c r="F31">
        <f t="shared" ref="F31:M31" si="9">SUM(F26:F30)/5</f>
        <v>25.4</v>
      </c>
      <c r="G31">
        <f t="shared" si="9"/>
        <v>245.4</v>
      </c>
      <c r="H31">
        <f t="shared" si="9"/>
        <v>268</v>
      </c>
      <c r="I31">
        <f t="shared" si="9"/>
        <v>327.60000000000002</v>
      </c>
      <c r="J31">
        <f t="shared" si="9"/>
        <v>11.4</v>
      </c>
      <c r="K31">
        <f t="shared" si="9"/>
        <v>343.6</v>
      </c>
      <c r="L31" s="1">
        <f t="shared" si="9"/>
        <v>0</v>
      </c>
      <c r="M31">
        <f t="shared" si="9"/>
        <v>82.4</v>
      </c>
    </row>
    <row r="34" spans="1:13" x14ac:dyDescent="0.4">
      <c r="A34" t="s">
        <v>17</v>
      </c>
      <c r="B34">
        <v>500</v>
      </c>
      <c r="C34">
        <v>0</v>
      </c>
      <c r="D34" s="2">
        <f>B34/500</f>
        <v>1</v>
      </c>
      <c r="E34">
        <v>193</v>
      </c>
      <c r="F34">
        <v>202</v>
      </c>
      <c r="G34" s="3">
        <v>305</v>
      </c>
      <c r="H34">
        <v>438</v>
      </c>
      <c r="I34">
        <v>551</v>
      </c>
      <c r="J34">
        <v>9</v>
      </c>
      <c r="K34">
        <v>722</v>
      </c>
      <c r="L34" s="1">
        <v>0</v>
      </c>
      <c r="M34">
        <v>372</v>
      </c>
    </row>
    <row r="35" spans="1:13" x14ac:dyDescent="0.4">
      <c r="B35">
        <v>500</v>
      </c>
      <c r="C35">
        <v>0</v>
      </c>
      <c r="D35" s="2">
        <f t="shared" ref="D35:D38" si="10">B35/500</f>
        <v>1</v>
      </c>
      <c r="E35">
        <v>121</v>
      </c>
      <c r="F35">
        <v>118</v>
      </c>
      <c r="G35">
        <v>191</v>
      </c>
      <c r="H35">
        <v>201</v>
      </c>
      <c r="I35">
        <v>222</v>
      </c>
      <c r="J35">
        <v>11</v>
      </c>
      <c r="K35">
        <v>352</v>
      </c>
      <c r="L35" s="1">
        <v>0</v>
      </c>
      <c r="M35">
        <v>414</v>
      </c>
    </row>
    <row r="36" spans="1:13" x14ac:dyDescent="0.4">
      <c r="B36">
        <v>500</v>
      </c>
      <c r="C36">
        <v>0</v>
      </c>
      <c r="D36" s="2">
        <f t="shared" si="10"/>
        <v>1</v>
      </c>
      <c r="E36">
        <v>201</v>
      </c>
      <c r="F36">
        <v>171</v>
      </c>
      <c r="G36">
        <v>374</v>
      </c>
      <c r="H36">
        <v>477</v>
      </c>
      <c r="I36">
        <v>622</v>
      </c>
      <c r="J36">
        <v>8</v>
      </c>
      <c r="K36">
        <v>670</v>
      </c>
      <c r="L36" s="1">
        <v>0</v>
      </c>
      <c r="M36">
        <v>241</v>
      </c>
    </row>
    <row r="37" spans="1:13" x14ac:dyDescent="0.4">
      <c r="B37">
        <v>500</v>
      </c>
      <c r="C37">
        <v>0</v>
      </c>
      <c r="D37" s="2">
        <f t="shared" si="10"/>
        <v>1</v>
      </c>
      <c r="E37">
        <v>63</v>
      </c>
      <c r="F37">
        <v>47</v>
      </c>
      <c r="G37">
        <v>123</v>
      </c>
      <c r="H37">
        <v>145</v>
      </c>
      <c r="I37">
        <v>229</v>
      </c>
      <c r="J37">
        <v>8</v>
      </c>
      <c r="K37">
        <v>333</v>
      </c>
      <c r="L37" s="1">
        <v>0</v>
      </c>
      <c r="M37">
        <v>351</v>
      </c>
    </row>
    <row r="38" spans="1:13" x14ac:dyDescent="0.4">
      <c r="B38">
        <v>500</v>
      </c>
      <c r="C38">
        <v>0</v>
      </c>
      <c r="D38" s="2">
        <f t="shared" si="10"/>
        <v>1</v>
      </c>
      <c r="E38">
        <v>179</v>
      </c>
      <c r="F38">
        <v>157</v>
      </c>
      <c r="G38">
        <v>360</v>
      </c>
      <c r="H38">
        <v>434</v>
      </c>
      <c r="I38">
        <v>646</v>
      </c>
      <c r="J38">
        <v>9</v>
      </c>
      <c r="K38">
        <v>773</v>
      </c>
      <c r="L38" s="1">
        <v>0</v>
      </c>
      <c r="M38">
        <v>293</v>
      </c>
    </row>
    <row r="39" spans="1:13" x14ac:dyDescent="0.4">
      <c r="A39" t="s">
        <v>12</v>
      </c>
      <c r="B39">
        <f>SUM(B34:B38)/5</f>
        <v>500</v>
      </c>
      <c r="C39">
        <f t="shared" ref="C39:D39" si="11">SUM(C34:C38)/5</f>
        <v>0</v>
      </c>
      <c r="D39" s="2">
        <f t="shared" si="11"/>
        <v>1</v>
      </c>
      <c r="E39">
        <f>SUM(E34:E38)/5</f>
        <v>151.4</v>
      </c>
      <c r="F39">
        <f t="shared" ref="F39:M39" si="12">SUM(F34:F38)/5</f>
        <v>139</v>
      </c>
      <c r="G39">
        <f t="shared" si="12"/>
        <v>270.60000000000002</v>
      </c>
      <c r="H39">
        <f t="shared" si="12"/>
        <v>339</v>
      </c>
      <c r="I39">
        <f t="shared" si="12"/>
        <v>454</v>
      </c>
      <c r="J39">
        <f t="shared" si="12"/>
        <v>9</v>
      </c>
      <c r="K39">
        <f t="shared" si="12"/>
        <v>570</v>
      </c>
      <c r="L39" s="1">
        <f t="shared" si="12"/>
        <v>0</v>
      </c>
      <c r="M39">
        <f t="shared" si="12"/>
        <v>334.2</v>
      </c>
    </row>
    <row r="42" spans="1:13" x14ac:dyDescent="0.4">
      <c r="A42" t="s">
        <v>18</v>
      </c>
      <c r="B42">
        <v>1000</v>
      </c>
      <c r="C42">
        <v>0</v>
      </c>
      <c r="D42" s="2">
        <f>B42/1000</f>
        <v>1</v>
      </c>
      <c r="E42">
        <v>651</v>
      </c>
      <c r="F42">
        <v>673</v>
      </c>
      <c r="G42">
        <v>1092</v>
      </c>
      <c r="H42">
        <v>1148</v>
      </c>
      <c r="I42">
        <v>1202</v>
      </c>
      <c r="J42">
        <v>11</v>
      </c>
      <c r="K42">
        <v>1387</v>
      </c>
      <c r="L42" s="1">
        <v>0</v>
      </c>
      <c r="M42">
        <v>382</v>
      </c>
    </row>
    <row r="43" spans="1:13" x14ac:dyDescent="0.4">
      <c r="B43">
        <v>1000</v>
      </c>
      <c r="C43">
        <v>0</v>
      </c>
      <c r="D43" s="2">
        <f t="shared" ref="D43:D46" si="13">B43/1000</f>
        <v>1</v>
      </c>
      <c r="E43">
        <v>621</v>
      </c>
      <c r="F43">
        <v>627</v>
      </c>
      <c r="G43">
        <v>1073</v>
      </c>
      <c r="H43">
        <v>1145</v>
      </c>
      <c r="I43">
        <v>1272</v>
      </c>
      <c r="J43">
        <v>12</v>
      </c>
      <c r="K43">
        <v>1512</v>
      </c>
      <c r="L43" s="1">
        <v>0</v>
      </c>
      <c r="M43">
        <v>332</v>
      </c>
    </row>
    <row r="44" spans="1:13" x14ac:dyDescent="0.4">
      <c r="B44">
        <v>1000</v>
      </c>
      <c r="C44">
        <v>0</v>
      </c>
      <c r="D44" s="2">
        <f t="shared" si="13"/>
        <v>1</v>
      </c>
      <c r="E44">
        <v>704</v>
      </c>
      <c r="F44">
        <v>596</v>
      </c>
      <c r="G44">
        <v>1459</v>
      </c>
      <c r="H44">
        <v>1513</v>
      </c>
      <c r="I44">
        <v>1646</v>
      </c>
      <c r="J44">
        <v>13</v>
      </c>
      <c r="K44">
        <v>2023</v>
      </c>
      <c r="L44" s="1">
        <v>0</v>
      </c>
      <c r="M44">
        <v>291</v>
      </c>
    </row>
    <row r="45" spans="1:13" x14ac:dyDescent="0.4">
      <c r="B45">
        <v>1000</v>
      </c>
      <c r="C45">
        <v>0</v>
      </c>
      <c r="D45" s="2">
        <f t="shared" si="13"/>
        <v>1</v>
      </c>
      <c r="E45">
        <v>856</v>
      </c>
      <c r="F45">
        <v>684</v>
      </c>
      <c r="G45">
        <v>1860</v>
      </c>
      <c r="H45">
        <v>1907</v>
      </c>
      <c r="I45">
        <v>2350</v>
      </c>
      <c r="J45">
        <v>13</v>
      </c>
      <c r="K45">
        <v>2413</v>
      </c>
      <c r="L45" s="1">
        <v>0</v>
      </c>
      <c r="M45">
        <v>285</v>
      </c>
    </row>
    <row r="46" spans="1:13" x14ac:dyDescent="0.4">
      <c r="B46">
        <v>1000</v>
      </c>
      <c r="C46">
        <v>0</v>
      </c>
      <c r="D46" s="2">
        <f t="shared" si="13"/>
        <v>1</v>
      </c>
      <c r="E46">
        <v>608</v>
      </c>
      <c r="F46">
        <v>616</v>
      </c>
      <c r="G46">
        <v>1073</v>
      </c>
      <c r="H46">
        <v>1116</v>
      </c>
      <c r="I46">
        <v>1149</v>
      </c>
      <c r="J46">
        <v>11</v>
      </c>
      <c r="K46">
        <v>1269</v>
      </c>
      <c r="L46" s="1">
        <v>0</v>
      </c>
      <c r="M46">
        <v>365</v>
      </c>
    </row>
    <row r="47" spans="1:13" x14ac:dyDescent="0.4">
      <c r="A47" t="s">
        <v>12</v>
      </c>
      <c r="B47">
        <f>SUM(B42:B46)/5</f>
        <v>1000</v>
      </c>
      <c r="C47">
        <f t="shared" ref="C47:D47" si="14">SUM(C42:C46)/5</f>
        <v>0</v>
      </c>
      <c r="D47" s="2">
        <f t="shared" si="14"/>
        <v>1</v>
      </c>
      <c r="E47">
        <f>SUM(E42:E46)/5</f>
        <v>688</v>
      </c>
      <c r="F47">
        <f t="shared" ref="F47:M47" si="15">SUM(F42:F46)/5</f>
        <v>639.20000000000005</v>
      </c>
      <c r="G47">
        <f t="shared" si="15"/>
        <v>1311.4</v>
      </c>
      <c r="H47">
        <f t="shared" si="15"/>
        <v>1365.8</v>
      </c>
      <c r="I47">
        <f t="shared" si="15"/>
        <v>1523.8</v>
      </c>
      <c r="J47">
        <f t="shared" si="15"/>
        <v>12</v>
      </c>
      <c r="K47">
        <f t="shared" si="15"/>
        <v>1720.8</v>
      </c>
      <c r="L47" s="1">
        <f t="shared" si="15"/>
        <v>0</v>
      </c>
      <c r="M47">
        <f t="shared" si="15"/>
        <v>331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Hong</dc:creator>
  <cp:lastModifiedBy>Joe Hong</cp:lastModifiedBy>
  <dcterms:created xsi:type="dcterms:W3CDTF">2026-05-11T07:14:23Z</dcterms:created>
  <dcterms:modified xsi:type="dcterms:W3CDTF">2026-05-20T08:40:35Z</dcterms:modified>
</cp:coreProperties>
</file>