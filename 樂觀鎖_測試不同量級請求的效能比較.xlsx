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_PLUS_PLUS\OneDrive - 國立宜蘭大學\桌面\"/>
    </mc:Choice>
  </mc:AlternateContent>
  <xr:revisionPtr revIDLastSave="0" documentId="13_ncr:1_{124E9603-9BD0-4A33-A268-352DFE3D50AA}" xr6:coauthVersionLast="47" xr6:coauthVersionMax="47" xr10:uidLastSave="{00000000-0000-0000-0000-000000000000}"/>
  <bookViews>
    <workbookView xWindow="-110" yWindow="-110" windowWidth="19420" windowHeight="11500" xr2:uid="{C0A7F96D-25A6-408A-97B3-AA404D29A21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1" l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N15" i="1"/>
  <c r="M15" i="1"/>
  <c r="I15" i="1"/>
  <c r="D15" i="1"/>
  <c r="G15" i="1" s="1"/>
  <c r="H6" i="1"/>
  <c r="J15" i="1"/>
  <c r="K15" i="1"/>
  <c r="L15" i="1"/>
  <c r="O15" i="1"/>
  <c r="P15" i="1"/>
  <c r="F18" i="1"/>
  <c r="G18" i="1"/>
  <c r="H18" i="1"/>
  <c r="M23" i="1"/>
  <c r="L23" i="1"/>
  <c r="K23" i="1"/>
  <c r="J23" i="1"/>
  <c r="I23" i="1"/>
  <c r="H35" i="1"/>
  <c r="H36" i="1"/>
  <c r="H37" i="1"/>
  <c r="H38" i="1"/>
  <c r="H39" i="1"/>
  <c r="H34" i="1"/>
  <c r="H27" i="1"/>
  <c r="H28" i="1"/>
  <c r="H29" i="1"/>
  <c r="H30" i="1"/>
  <c r="H31" i="1"/>
  <c r="H26" i="1"/>
  <c r="H19" i="1"/>
  <c r="H20" i="1"/>
  <c r="H21" i="1"/>
  <c r="H22" i="1"/>
  <c r="H23" i="1"/>
  <c r="H3" i="1"/>
  <c r="H4" i="1"/>
  <c r="H5" i="1"/>
  <c r="H2" i="1"/>
  <c r="I7" i="1"/>
  <c r="J7" i="1"/>
  <c r="K7" i="1"/>
  <c r="L7" i="1"/>
  <c r="M7" i="1"/>
  <c r="N7" i="1"/>
  <c r="O7" i="1"/>
  <c r="N23" i="1"/>
  <c r="O23" i="1"/>
  <c r="I31" i="1"/>
  <c r="J31" i="1"/>
  <c r="K31" i="1"/>
  <c r="L31" i="1"/>
  <c r="M31" i="1"/>
  <c r="N31" i="1"/>
  <c r="O31" i="1"/>
  <c r="P31" i="1"/>
  <c r="I39" i="1"/>
  <c r="J39" i="1"/>
  <c r="K39" i="1"/>
  <c r="L39" i="1"/>
  <c r="M39" i="1"/>
  <c r="N39" i="1"/>
  <c r="O39" i="1"/>
  <c r="G35" i="1"/>
  <c r="G36" i="1"/>
  <c r="G37" i="1"/>
  <c r="G38" i="1"/>
  <c r="G39" i="1"/>
  <c r="G27" i="1"/>
  <c r="G28" i="1"/>
  <c r="G29" i="1"/>
  <c r="G30" i="1"/>
  <c r="G31" i="1"/>
  <c r="G19" i="1"/>
  <c r="G20" i="1"/>
  <c r="G21" i="1"/>
  <c r="G22" i="1"/>
  <c r="G23" i="1"/>
  <c r="G3" i="1"/>
  <c r="G4" i="1"/>
  <c r="G5" i="1"/>
  <c r="G6" i="1"/>
  <c r="G7" i="1"/>
  <c r="G34" i="1"/>
  <c r="G26" i="1"/>
  <c r="G2" i="1"/>
  <c r="E39" i="1"/>
  <c r="F39" i="1"/>
  <c r="F31" i="1"/>
  <c r="F35" i="1"/>
  <c r="F36" i="1"/>
  <c r="F37" i="1"/>
  <c r="F38" i="1"/>
  <c r="F34" i="1"/>
  <c r="F26" i="1"/>
  <c r="C39" i="1"/>
  <c r="D39" i="1"/>
  <c r="B39" i="1"/>
  <c r="B31" i="1"/>
  <c r="F27" i="1"/>
  <c r="F28" i="1"/>
  <c r="F29" i="1"/>
  <c r="F30" i="1"/>
  <c r="C31" i="1"/>
  <c r="D31" i="1"/>
  <c r="E31" i="1"/>
  <c r="B23" i="1"/>
  <c r="F23" i="1" s="1"/>
  <c r="F19" i="1"/>
  <c r="F20" i="1"/>
  <c r="F21" i="1"/>
  <c r="F22" i="1"/>
  <c r="F3" i="1"/>
  <c r="F4" i="1"/>
  <c r="F5" i="1"/>
  <c r="F6" i="1"/>
  <c r="F7" i="1"/>
  <c r="F2" i="1"/>
  <c r="D23" i="1"/>
  <c r="C23" i="1"/>
  <c r="B15" i="1"/>
  <c r="F15" i="1" s="1"/>
  <c r="B7" i="1"/>
  <c r="C7" i="1"/>
  <c r="D7" i="1"/>
  <c r="C15" i="1" l="1"/>
  <c r="H15" i="1" l="1"/>
  <c r="H7" i="1"/>
</calcChain>
</file>

<file path=xl/sharedStrings.xml><?xml version="1.0" encoding="utf-8"?>
<sst xmlns="http://schemas.openxmlformats.org/spreadsheetml/2006/main" count="25" uniqueCount="21">
  <si>
    <t>issue100/request200</t>
  </si>
  <si>
    <t>average_latency</t>
    <phoneticPr fontId="2" type="noConversion"/>
  </si>
  <si>
    <t>median_latency</t>
    <phoneticPr fontId="2" type="noConversion"/>
  </si>
  <si>
    <t>min_latency</t>
    <phoneticPr fontId="2" type="noConversion"/>
  </si>
  <si>
    <t>max_latency</t>
    <phoneticPr fontId="2" type="noConversion"/>
  </si>
  <si>
    <t>90%_latency</t>
    <phoneticPr fontId="2" type="noConversion"/>
  </si>
  <si>
    <t>95%_latency</t>
    <phoneticPr fontId="2" type="noConversion"/>
  </si>
  <si>
    <t>99%_latency</t>
    <phoneticPr fontId="2" type="noConversion"/>
  </si>
  <si>
    <t>error rate</t>
    <phoneticPr fontId="2" type="noConversion"/>
  </si>
  <si>
    <t>SUCCESS</t>
    <phoneticPr fontId="2" type="noConversion"/>
  </si>
  <si>
    <t>Redis_SOLD_OUT</t>
  </si>
  <si>
    <t>平均</t>
    <phoneticPr fontId="2" type="noConversion"/>
  </si>
  <si>
    <t>issue100/request500</t>
  </si>
  <si>
    <t>issue500/request2000</t>
  </si>
  <si>
    <t>issue1000/request2000</t>
    <phoneticPr fontId="2" type="noConversion"/>
  </si>
  <si>
    <t>成功發出優惠券比例(SUCCESS/Issue)</t>
    <phoneticPr fontId="2" type="noConversion"/>
  </si>
  <si>
    <t>NOT_FOUND</t>
    <phoneticPr fontId="2" type="noConversion"/>
  </si>
  <si>
    <t>Redis擋超發流量(Redis_SOLD_OUT/(requset-issue))</t>
    <phoneticPr fontId="2" type="noConversion"/>
  </si>
  <si>
    <t>CONFLICT_TRY_AGAIN</t>
    <phoneticPr fontId="2" type="noConversion"/>
  </si>
  <si>
    <t>衝突狀況(CONFLICT_TRY_AGAIN/request)</t>
    <phoneticPr fontId="2" type="noConversion"/>
  </si>
  <si>
    <t>issue500/request1000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</si>
</sst>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%"/>
  </numFmts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ptos"/>
      <family val="2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9" fontId="0" fillId="0" borderId="0" xfId="1" applyFont="1">
      <alignment vertical="center"/>
    </xf>
    <xf numFmtId="180" fontId="0" fillId="0" borderId="0" xfId="1" applyNumberFormat="1" applyFont="1">
      <alignment vertical="center"/>
    </xf>
    <xf numFmtId="10" fontId="0" fillId="0" borderId="0" xfId="1" applyNumberFormat="1" applyFont="1">
      <alignment vertical="center"/>
    </xf>
    <xf numFmtId="0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49EF-23FA-4738-A737-C1DFB1E996A2}">
  <dimension ref="A1:P40"/>
  <sheetViews>
    <sheetView tabSelected="1" topLeftCell="B10" zoomScale="55" zoomScaleNormal="55" workbookViewId="0">
      <selection activeCell="J34" sqref="J34"/>
    </sheetView>
  </sheetViews>
  <sheetFormatPr defaultRowHeight="17" x14ac:dyDescent="0.4"/>
  <cols>
    <col min="1" max="1" width="25.54296875" customWidth="1"/>
    <col min="2" max="2" width="10.6328125" bestFit="1" customWidth="1"/>
    <col min="3" max="3" width="26.1796875" bestFit="1" customWidth="1"/>
    <col min="4" max="4" width="18.90625" bestFit="1" customWidth="1"/>
    <col min="5" max="5" width="14.6328125" bestFit="1" customWidth="1"/>
    <col min="6" max="6" width="39.7265625" bestFit="1" customWidth="1"/>
    <col min="7" max="7" width="51.6328125" bestFit="1" customWidth="1"/>
    <col min="8" max="8" width="44.54296875" bestFit="1" customWidth="1"/>
    <col min="9" max="9" width="14.81640625" bestFit="1" customWidth="1"/>
    <col min="10" max="10" width="14.6328125" bestFit="1" customWidth="1"/>
    <col min="11" max="13" width="12.1796875" bestFit="1" customWidth="1"/>
    <col min="14" max="14" width="11.6328125" bestFit="1" customWidth="1"/>
    <col min="15" max="15" width="12" bestFit="1" customWidth="1"/>
    <col min="16" max="16" width="9" bestFit="1" customWidth="1"/>
  </cols>
  <sheetData>
    <row r="1" spans="1:16" x14ac:dyDescent="0.4">
      <c r="B1" t="s">
        <v>9</v>
      </c>
      <c r="C1" t="s">
        <v>18</v>
      </c>
      <c r="D1" t="s">
        <v>10</v>
      </c>
      <c r="E1" t="s">
        <v>16</v>
      </c>
      <c r="F1" t="s">
        <v>15</v>
      </c>
      <c r="G1" t="s">
        <v>17</v>
      </c>
      <c r="H1" t="s">
        <v>19</v>
      </c>
      <c r="I1" t="s">
        <v>1</v>
      </c>
      <c r="J1" t="s">
        <v>2</v>
      </c>
      <c r="K1" t="s">
        <v>5</v>
      </c>
      <c r="L1" t="s">
        <v>6</v>
      </c>
      <c r="M1" t="s">
        <v>7</v>
      </c>
      <c r="N1" t="s">
        <v>3</v>
      </c>
      <c r="O1" t="s">
        <v>4</v>
      </c>
      <c r="P1" t="s">
        <v>8</v>
      </c>
    </row>
    <row r="2" spans="1:16" x14ac:dyDescent="0.4">
      <c r="A2" s="1" t="s">
        <v>0</v>
      </c>
      <c r="B2">
        <v>99</v>
      </c>
      <c r="C2">
        <v>15</v>
      </c>
      <c r="D2">
        <v>86</v>
      </c>
      <c r="E2" s="5">
        <v>0</v>
      </c>
      <c r="F2" s="3">
        <f>B2/100</f>
        <v>0.99</v>
      </c>
      <c r="G2" s="3">
        <f>D2/(200-100)</f>
        <v>0.86</v>
      </c>
      <c r="H2" s="3">
        <f>C10/100</f>
        <v>7.0000000000000007E-2</v>
      </c>
      <c r="I2">
        <v>263</v>
      </c>
      <c r="J2">
        <v>179</v>
      </c>
      <c r="K2">
        <v>642</v>
      </c>
      <c r="L2">
        <v>736</v>
      </c>
      <c r="M2">
        <v>935</v>
      </c>
      <c r="N2">
        <v>5</v>
      </c>
      <c r="O2">
        <v>988</v>
      </c>
      <c r="P2" s="2">
        <v>0</v>
      </c>
    </row>
    <row r="3" spans="1:16" x14ac:dyDescent="0.4">
      <c r="B3">
        <v>100</v>
      </c>
      <c r="C3">
        <v>5</v>
      </c>
      <c r="D3">
        <v>95</v>
      </c>
      <c r="E3" s="5">
        <v>0</v>
      </c>
      <c r="F3" s="3">
        <f t="shared" ref="F3:F23" si="0">B3/100</f>
        <v>1</v>
      </c>
      <c r="G3" s="3">
        <f t="shared" ref="G3:G7" si="1">D3/(200-100)</f>
        <v>0.95</v>
      </c>
      <c r="H3" s="3">
        <f t="shared" ref="H3:H7" si="2">C11/100</f>
        <v>0.05</v>
      </c>
      <c r="I3">
        <v>47</v>
      </c>
      <c r="J3">
        <v>15</v>
      </c>
      <c r="K3">
        <v>137</v>
      </c>
      <c r="L3">
        <v>264</v>
      </c>
      <c r="M3">
        <v>299</v>
      </c>
      <c r="N3">
        <v>3</v>
      </c>
      <c r="O3">
        <v>331</v>
      </c>
      <c r="P3" s="2">
        <v>0</v>
      </c>
    </row>
    <row r="4" spans="1:16" x14ac:dyDescent="0.4">
      <c r="B4">
        <v>100</v>
      </c>
      <c r="C4">
        <v>6</v>
      </c>
      <c r="D4">
        <v>94</v>
      </c>
      <c r="E4" s="5">
        <v>0</v>
      </c>
      <c r="F4" s="3">
        <f t="shared" si="0"/>
        <v>1</v>
      </c>
      <c r="G4" s="3">
        <f t="shared" si="1"/>
        <v>0.94</v>
      </c>
      <c r="H4" s="3">
        <f t="shared" si="2"/>
        <v>0.1</v>
      </c>
      <c r="I4">
        <v>38</v>
      </c>
      <c r="J4">
        <v>12</v>
      </c>
      <c r="K4">
        <v>125</v>
      </c>
      <c r="L4">
        <v>252</v>
      </c>
      <c r="M4">
        <v>283</v>
      </c>
      <c r="N4">
        <v>3</v>
      </c>
      <c r="O4">
        <v>307</v>
      </c>
      <c r="P4" s="2">
        <v>0</v>
      </c>
    </row>
    <row r="5" spans="1:16" x14ac:dyDescent="0.4">
      <c r="B5">
        <v>100</v>
      </c>
      <c r="C5">
        <v>1</v>
      </c>
      <c r="D5">
        <v>99</v>
      </c>
      <c r="E5" s="5">
        <v>0</v>
      </c>
      <c r="F5" s="3">
        <f t="shared" si="0"/>
        <v>1</v>
      </c>
      <c r="G5" s="3">
        <f t="shared" si="1"/>
        <v>0.99</v>
      </c>
      <c r="H5" s="3">
        <f t="shared" si="2"/>
        <v>0.05</v>
      </c>
      <c r="I5">
        <v>19</v>
      </c>
      <c r="J5">
        <v>10</v>
      </c>
      <c r="K5">
        <v>18</v>
      </c>
      <c r="L5">
        <v>113</v>
      </c>
      <c r="M5">
        <v>262</v>
      </c>
      <c r="N5">
        <v>3</v>
      </c>
      <c r="O5">
        <v>264</v>
      </c>
      <c r="P5" s="2">
        <v>0</v>
      </c>
    </row>
    <row r="6" spans="1:16" x14ac:dyDescent="0.4">
      <c r="B6">
        <v>100</v>
      </c>
      <c r="C6">
        <v>3</v>
      </c>
      <c r="D6">
        <v>97</v>
      </c>
      <c r="E6" s="5">
        <v>0</v>
      </c>
      <c r="F6" s="3">
        <f t="shared" si="0"/>
        <v>1</v>
      </c>
      <c r="G6" s="3">
        <f t="shared" si="1"/>
        <v>0.97</v>
      </c>
      <c r="H6" s="3">
        <f t="shared" si="2"/>
        <v>7.0000000000000007E-2</v>
      </c>
      <c r="I6">
        <v>28</v>
      </c>
      <c r="J6">
        <v>10</v>
      </c>
      <c r="K6">
        <v>107</v>
      </c>
      <c r="L6">
        <v>128</v>
      </c>
      <c r="M6">
        <v>237</v>
      </c>
      <c r="N6">
        <v>3</v>
      </c>
      <c r="O6">
        <v>267</v>
      </c>
      <c r="P6" s="2">
        <v>0</v>
      </c>
    </row>
    <row r="7" spans="1:16" x14ac:dyDescent="0.4">
      <c r="A7" t="s">
        <v>11</v>
      </c>
      <c r="B7">
        <f>SUM(B2:B6)/5</f>
        <v>99.8</v>
      </c>
      <c r="C7">
        <f>SUM(C2:C6)/5</f>
        <v>6</v>
      </c>
      <c r="D7">
        <f t="shared" ref="C7:D7" si="3">SUM(D2:D6)/5</f>
        <v>94.2</v>
      </c>
      <c r="E7" s="5">
        <v>0</v>
      </c>
      <c r="F7" s="3">
        <f t="shared" si="0"/>
        <v>0.998</v>
      </c>
      <c r="G7" s="3">
        <f t="shared" si="1"/>
        <v>0.94200000000000006</v>
      </c>
      <c r="H7" s="3">
        <f t="shared" si="2"/>
        <v>6.8000000000000005E-2</v>
      </c>
      <c r="I7">
        <f t="shared" ref="I7" si="4">SUM(I2:I6)/5</f>
        <v>79</v>
      </c>
      <c r="J7">
        <f t="shared" ref="J7" si="5">SUM(J2:J6)/5</f>
        <v>45.2</v>
      </c>
      <c r="K7">
        <f t="shared" ref="K7" si="6">SUM(K2:K6)/5</f>
        <v>205.8</v>
      </c>
      <c r="L7">
        <f t="shared" ref="L7" si="7">SUM(L2:L6)/5</f>
        <v>298.60000000000002</v>
      </c>
      <c r="M7">
        <f t="shared" ref="M7" si="8">SUM(M2:M6)/5</f>
        <v>403.2</v>
      </c>
      <c r="N7">
        <f t="shared" ref="N7" si="9">SUM(N2:N6)/5</f>
        <v>3.4</v>
      </c>
      <c r="O7">
        <f t="shared" ref="O7" si="10">SUM(O2:O6)/5</f>
        <v>431.4</v>
      </c>
      <c r="P7" s="2">
        <v>0</v>
      </c>
    </row>
    <row r="8" spans="1:16" x14ac:dyDescent="0.4">
      <c r="E8" s="5"/>
      <c r="F8" s="3"/>
      <c r="G8" s="2"/>
    </row>
    <row r="9" spans="1:16" x14ac:dyDescent="0.4">
      <c r="E9" s="5"/>
      <c r="F9" s="3"/>
      <c r="G9" s="2"/>
    </row>
    <row r="10" spans="1:16" x14ac:dyDescent="0.4">
      <c r="A10" s="1" t="s">
        <v>12</v>
      </c>
      <c r="B10">
        <v>100</v>
      </c>
      <c r="C10">
        <v>7</v>
      </c>
      <c r="D10">
        <v>393</v>
      </c>
      <c r="E10" s="5">
        <v>0</v>
      </c>
      <c r="F10" s="3">
        <f t="shared" si="0"/>
        <v>1</v>
      </c>
      <c r="G10" s="3">
        <f>D10/(500-100)</f>
        <v>0.98250000000000004</v>
      </c>
      <c r="H10" s="3">
        <f>C10/100</f>
        <v>7.0000000000000007E-2</v>
      </c>
      <c r="I10">
        <v>37</v>
      </c>
      <c r="J10">
        <v>6</v>
      </c>
      <c r="K10">
        <v>149</v>
      </c>
      <c r="L10">
        <v>168</v>
      </c>
      <c r="M10">
        <v>334</v>
      </c>
      <c r="N10">
        <v>3</v>
      </c>
      <c r="O10">
        <v>419</v>
      </c>
      <c r="P10" s="2">
        <v>0</v>
      </c>
    </row>
    <row r="11" spans="1:16" x14ac:dyDescent="0.4">
      <c r="B11">
        <v>100</v>
      </c>
      <c r="C11">
        <v>5</v>
      </c>
      <c r="D11">
        <v>395</v>
      </c>
      <c r="E11" s="5">
        <v>0</v>
      </c>
      <c r="F11" s="3">
        <f t="shared" si="0"/>
        <v>1</v>
      </c>
      <c r="G11" s="3">
        <f t="shared" ref="G11:G15" si="11">D11/(500-100)</f>
        <v>0.98750000000000004</v>
      </c>
      <c r="H11" s="3">
        <f t="shared" ref="H11:H15" si="12">C11/100</f>
        <v>0.05</v>
      </c>
      <c r="I11">
        <v>98</v>
      </c>
      <c r="J11">
        <v>31</v>
      </c>
      <c r="K11">
        <v>246</v>
      </c>
      <c r="L11">
        <v>270</v>
      </c>
      <c r="M11">
        <v>441</v>
      </c>
      <c r="N11">
        <v>3</v>
      </c>
      <c r="O11">
        <v>493</v>
      </c>
      <c r="P11" s="2">
        <v>0</v>
      </c>
    </row>
    <row r="12" spans="1:16" x14ac:dyDescent="0.4">
      <c r="B12">
        <v>100</v>
      </c>
      <c r="C12">
        <v>10</v>
      </c>
      <c r="D12">
        <v>390</v>
      </c>
      <c r="E12" s="5">
        <v>0</v>
      </c>
      <c r="F12" s="3">
        <f t="shared" si="0"/>
        <v>1</v>
      </c>
      <c r="G12" s="3">
        <f t="shared" si="11"/>
        <v>0.97499999999999998</v>
      </c>
      <c r="H12" s="3">
        <f t="shared" si="12"/>
        <v>0.1</v>
      </c>
      <c r="I12">
        <v>45</v>
      </c>
      <c r="J12">
        <v>6</v>
      </c>
      <c r="K12">
        <v>188</v>
      </c>
      <c r="L12">
        <v>242</v>
      </c>
      <c r="M12">
        <v>396</v>
      </c>
      <c r="N12">
        <v>2</v>
      </c>
      <c r="O12">
        <v>497</v>
      </c>
      <c r="P12" s="2">
        <v>0</v>
      </c>
    </row>
    <row r="13" spans="1:16" x14ac:dyDescent="0.4">
      <c r="B13">
        <v>100</v>
      </c>
      <c r="C13">
        <v>5</v>
      </c>
      <c r="D13">
        <v>395</v>
      </c>
      <c r="E13" s="5">
        <v>0</v>
      </c>
      <c r="F13" s="3">
        <f t="shared" si="0"/>
        <v>1</v>
      </c>
      <c r="G13" s="3">
        <f t="shared" si="11"/>
        <v>0.98750000000000004</v>
      </c>
      <c r="H13" s="3">
        <f t="shared" si="12"/>
        <v>0.05</v>
      </c>
      <c r="I13">
        <v>40</v>
      </c>
      <c r="J13">
        <v>5</v>
      </c>
      <c r="K13">
        <v>155</v>
      </c>
      <c r="L13">
        <v>217</v>
      </c>
      <c r="M13">
        <v>324</v>
      </c>
      <c r="N13">
        <v>3</v>
      </c>
      <c r="O13">
        <v>450</v>
      </c>
      <c r="P13" s="2">
        <v>0</v>
      </c>
    </row>
    <row r="14" spans="1:16" x14ac:dyDescent="0.4">
      <c r="B14">
        <v>100</v>
      </c>
      <c r="C14">
        <v>7</v>
      </c>
      <c r="D14">
        <v>393</v>
      </c>
      <c r="E14" s="5">
        <v>0</v>
      </c>
      <c r="F14" s="3">
        <f t="shared" si="0"/>
        <v>1</v>
      </c>
      <c r="G14" s="3">
        <f t="shared" si="11"/>
        <v>0.98250000000000004</v>
      </c>
      <c r="H14" s="3">
        <f t="shared" si="12"/>
        <v>7.0000000000000007E-2</v>
      </c>
      <c r="I14">
        <v>32</v>
      </c>
      <c r="J14">
        <v>5</v>
      </c>
      <c r="K14">
        <v>130</v>
      </c>
      <c r="L14">
        <v>166</v>
      </c>
      <c r="M14">
        <v>320</v>
      </c>
      <c r="N14">
        <v>3</v>
      </c>
      <c r="O14">
        <v>396</v>
      </c>
      <c r="P14" s="2">
        <v>0</v>
      </c>
    </row>
    <row r="15" spans="1:16" x14ac:dyDescent="0.4">
      <c r="A15" t="s">
        <v>11</v>
      </c>
      <c r="B15">
        <f>SUM(B10:B14)/5</f>
        <v>100</v>
      </c>
      <c r="C15">
        <f t="shared" ref="C15:N15" si="13">SUM(C10:C14)/5</f>
        <v>6.8</v>
      </c>
      <c r="D15">
        <f t="shared" si="13"/>
        <v>393.2</v>
      </c>
      <c r="E15" s="5">
        <v>0</v>
      </c>
      <c r="F15" s="3">
        <f t="shared" si="0"/>
        <v>1</v>
      </c>
      <c r="G15" s="3">
        <f t="shared" si="11"/>
        <v>0.98299999999999998</v>
      </c>
      <c r="H15" s="3">
        <f t="shared" si="12"/>
        <v>6.8000000000000005E-2</v>
      </c>
      <c r="I15">
        <f t="shared" ref="I15" si="14">SUM(I10:I14)/5</f>
        <v>50.4</v>
      </c>
      <c r="J15">
        <f t="shared" ref="J15" si="15">SUM(J10:J14)/5</f>
        <v>10.6</v>
      </c>
      <c r="K15">
        <f t="shared" ref="K15" si="16">SUM(K10:K14)/5</f>
        <v>173.6</v>
      </c>
      <c r="L15">
        <f t="shared" ref="L15" si="17">SUM(L10:L14)/5</f>
        <v>212.6</v>
      </c>
      <c r="M15">
        <f t="shared" ref="M15" si="18">SUM(M10:M14)/5</f>
        <v>363</v>
      </c>
      <c r="N15">
        <f t="shared" ref="N15" si="19">SUM(N10:N14)/5</f>
        <v>2.8</v>
      </c>
      <c r="O15">
        <f t="shared" ref="O15" si="20">SUM(O10:O14)/5</f>
        <v>451</v>
      </c>
      <c r="P15" s="2">
        <f t="shared" ref="P15" si="21">SUM(P10:P14)/5</f>
        <v>0</v>
      </c>
    </row>
    <row r="16" spans="1:16" x14ac:dyDescent="0.4">
      <c r="A16" s="1"/>
      <c r="E16" s="5"/>
      <c r="F16" s="3"/>
      <c r="G16" s="2"/>
    </row>
    <row r="17" spans="1:16" x14ac:dyDescent="0.4">
      <c r="E17" s="5"/>
      <c r="F17" s="3"/>
      <c r="G17" s="2"/>
    </row>
    <row r="18" spans="1:16" x14ac:dyDescent="0.4">
      <c r="A18" s="1" t="s">
        <v>20</v>
      </c>
      <c r="B18">
        <v>490</v>
      </c>
      <c r="C18">
        <v>31</v>
      </c>
      <c r="D18">
        <v>479</v>
      </c>
      <c r="E18" s="5">
        <v>0</v>
      </c>
      <c r="F18" s="3">
        <f>B18/500</f>
        <v>0.98</v>
      </c>
      <c r="G18" s="3">
        <f>D18/(1000-500)</f>
        <v>0.95799999999999996</v>
      </c>
      <c r="H18" s="3">
        <f>C18/500</f>
        <v>6.2E-2</v>
      </c>
      <c r="I18">
        <v>639</v>
      </c>
      <c r="J18">
        <v>513</v>
      </c>
      <c r="K18">
        <v>1181</v>
      </c>
      <c r="L18">
        <v>1344</v>
      </c>
      <c r="M18">
        <v>1665</v>
      </c>
      <c r="N18">
        <v>12</v>
      </c>
      <c r="O18">
        <v>1923</v>
      </c>
      <c r="P18" s="2">
        <v>0</v>
      </c>
    </row>
    <row r="19" spans="1:16" x14ac:dyDescent="0.4">
      <c r="B19">
        <v>491</v>
      </c>
      <c r="C19">
        <v>33</v>
      </c>
      <c r="D19">
        <v>476</v>
      </c>
      <c r="E19" s="5">
        <v>0</v>
      </c>
      <c r="F19" s="3">
        <f t="shared" ref="F19:F23" si="22">B19/500</f>
        <v>0.98199999999999998</v>
      </c>
      <c r="G19" s="3">
        <f t="shared" ref="G19:G23" si="23">D19/(1000-500)</f>
        <v>0.95199999999999996</v>
      </c>
      <c r="H19" s="3">
        <f t="shared" ref="H19:H23" si="24">C19/500</f>
        <v>6.6000000000000003E-2</v>
      </c>
      <c r="I19">
        <v>503</v>
      </c>
      <c r="J19">
        <v>413</v>
      </c>
      <c r="K19">
        <v>1087</v>
      </c>
      <c r="L19">
        <v>1233</v>
      </c>
      <c r="M19">
        <v>1455</v>
      </c>
      <c r="N19">
        <v>8</v>
      </c>
      <c r="O19">
        <v>1716</v>
      </c>
      <c r="P19" s="2">
        <v>0</v>
      </c>
    </row>
    <row r="20" spans="1:16" x14ac:dyDescent="0.4">
      <c r="B20">
        <v>489</v>
      </c>
      <c r="C20">
        <v>40</v>
      </c>
      <c r="D20">
        <v>471</v>
      </c>
      <c r="E20" s="5">
        <v>0</v>
      </c>
      <c r="F20" s="3">
        <f t="shared" si="22"/>
        <v>0.97799999999999998</v>
      </c>
      <c r="G20" s="3">
        <f t="shared" si="23"/>
        <v>0.94199999999999995</v>
      </c>
      <c r="H20" s="3">
        <f t="shared" si="24"/>
        <v>0.08</v>
      </c>
      <c r="I20">
        <v>710</v>
      </c>
      <c r="J20">
        <v>606</v>
      </c>
      <c r="K20">
        <v>1260</v>
      </c>
      <c r="L20">
        <v>1395</v>
      </c>
      <c r="M20">
        <v>1691</v>
      </c>
      <c r="N20">
        <v>11</v>
      </c>
      <c r="O20">
        <v>2120</v>
      </c>
      <c r="P20" s="2">
        <v>0</v>
      </c>
    </row>
    <row r="21" spans="1:16" x14ac:dyDescent="0.4">
      <c r="B21">
        <v>492</v>
      </c>
      <c r="C21">
        <v>41</v>
      </c>
      <c r="D21">
        <v>467</v>
      </c>
      <c r="E21" s="5">
        <v>0</v>
      </c>
      <c r="F21" s="3">
        <f t="shared" si="22"/>
        <v>0.98399999999999999</v>
      </c>
      <c r="G21" s="3">
        <f t="shared" si="23"/>
        <v>0.93400000000000005</v>
      </c>
      <c r="H21" s="3">
        <f t="shared" si="24"/>
        <v>8.2000000000000003E-2</v>
      </c>
      <c r="I21">
        <v>849</v>
      </c>
      <c r="J21">
        <v>834</v>
      </c>
      <c r="K21">
        <v>1511</v>
      </c>
      <c r="L21">
        <v>1645</v>
      </c>
      <c r="M21">
        <v>1878</v>
      </c>
      <c r="N21">
        <v>36</v>
      </c>
      <c r="O21">
        <v>2389</v>
      </c>
      <c r="P21" s="2">
        <v>0</v>
      </c>
    </row>
    <row r="22" spans="1:16" x14ac:dyDescent="0.4">
      <c r="B22">
        <v>486</v>
      </c>
      <c r="C22">
        <v>33</v>
      </c>
      <c r="D22">
        <v>481</v>
      </c>
      <c r="E22" s="5">
        <v>0</v>
      </c>
      <c r="F22" s="3">
        <f t="shared" si="22"/>
        <v>0.97199999999999998</v>
      </c>
      <c r="G22" s="3">
        <f t="shared" si="23"/>
        <v>0.96199999999999997</v>
      </c>
      <c r="H22" s="3">
        <f t="shared" si="24"/>
        <v>6.6000000000000003E-2</v>
      </c>
      <c r="I22">
        <v>948</v>
      </c>
      <c r="J22">
        <v>844</v>
      </c>
      <c r="K22">
        <v>1568</v>
      </c>
      <c r="L22">
        <v>1676</v>
      </c>
      <c r="M22">
        <v>1787</v>
      </c>
      <c r="N22">
        <v>14</v>
      </c>
      <c r="O22">
        <v>2002</v>
      </c>
      <c r="P22" s="2">
        <v>0</v>
      </c>
    </row>
    <row r="23" spans="1:16" x14ac:dyDescent="0.4">
      <c r="A23" t="s">
        <v>11</v>
      </c>
      <c r="B23">
        <f>SUM(B18:B22)/5</f>
        <v>489.6</v>
      </c>
      <c r="C23">
        <f t="shared" ref="C23:D23" si="25">SUM(C18:C22)/5</f>
        <v>35.6</v>
      </c>
      <c r="D23">
        <f t="shared" ref="D23" si="26">SUM(D18:D22)/5</f>
        <v>474.8</v>
      </c>
      <c r="E23" s="5">
        <v>0</v>
      </c>
      <c r="F23" s="3">
        <f t="shared" si="22"/>
        <v>0.97920000000000007</v>
      </c>
      <c r="G23" s="3">
        <f t="shared" si="23"/>
        <v>0.9496</v>
      </c>
      <c r="H23" s="3">
        <f t="shared" si="24"/>
        <v>7.1199999999999999E-2</v>
      </c>
      <c r="I23">
        <f t="shared" ref="I23" si="27">SUM(I18:I22)/5</f>
        <v>729.8</v>
      </c>
      <c r="J23">
        <f t="shared" ref="J23" si="28">SUM(J18:J22)/5</f>
        <v>642</v>
      </c>
      <c r="K23">
        <f t="shared" ref="K23" si="29">SUM(K18:K22)/5</f>
        <v>1321.4</v>
      </c>
      <c r="L23">
        <f t="shared" ref="L23" si="30">SUM(L18:L22)/5</f>
        <v>1458.6</v>
      </c>
      <c r="M23">
        <f t="shared" ref="M23" si="31">SUM(M18:M22)/5</f>
        <v>1695.2</v>
      </c>
      <c r="N23">
        <f t="shared" ref="N23" si="32">SUM(N18:N22)/5</f>
        <v>16.2</v>
      </c>
      <c r="O23">
        <f t="shared" ref="O23" si="33">SUM(O18:O22)/5</f>
        <v>2030</v>
      </c>
      <c r="P23" s="2">
        <v>0</v>
      </c>
    </row>
    <row r="24" spans="1:16" x14ac:dyDescent="0.4">
      <c r="E24" s="5"/>
      <c r="G24" s="2"/>
    </row>
    <row r="25" spans="1:16" x14ac:dyDescent="0.4">
      <c r="E25" s="5"/>
      <c r="G25" s="2"/>
    </row>
    <row r="26" spans="1:16" x14ac:dyDescent="0.4">
      <c r="A26" s="1" t="s">
        <v>13</v>
      </c>
      <c r="B26">
        <v>500</v>
      </c>
      <c r="C26">
        <v>39</v>
      </c>
      <c r="D26">
        <v>1192</v>
      </c>
      <c r="E26" s="5">
        <v>269</v>
      </c>
      <c r="F26" s="3">
        <f>B26/500</f>
        <v>1</v>
      </c>
      <c r="G26" s="3">
        <f>D26/(2000-500)</f>
        <v>0.79466666666666663</v>
      </c>
      <c r="H26" s="3">
        <f>C26/500</f>
        <v>7.8E-2</v>
      </c>
      <c r="I26" s="5">
        <v>715</v>
      </c>
      <c r="J26" s="5">
        <v>541</v>
      </c>
      <c r="K26" s="5">
        <v>1386</v>
      </c>
      <c r="L26" s="5">
        <v>1473</v>
      </c>
      <c r="M26" s="5">
        <v>1831</v>
      </c>
      <c r="N26" s="5">
        <v>0</v>
      </c>
      <c r="O26" s="5">
        <v>2376</v>
      </c>
      <c r="P26" s="6">
        <v>0.13450000000000001</v>
      </c>
    </row>
    <row r="27" spans="1:16" x14ac:dyDescent="0.4">
      <c r="B27">
        <v>500</v>
      </c>
      <c r="C27">
        <v>30</v>
      </c>
      <c r="D27">
        <v>1470</v>
      </c>
      <c r="E27" s="5">
        <v>0</v>
      </c>
      <c r="F27" s="3">
        <f t="shared" ref="F27:F31" si="34">B27/500</f>
        <v>1</v>
      </c>
      <c r="G27" s="3">
        <f t="shared" ref="G27:G31" si="35">D27/(2000-500)</f>
        <v>0.98</v>
      </c>
      <c r="H27" s="3">
        <f t="shared" ref="H27:H31" si="36">C27/500</f>
        <v>0.06</v>
      </c>
      <c r="I27" s="5">
        <v>302</v>
      </c>
      <c r="J27" s="5">
        <v>166</v>
      </c>
      <c r="K27" s="5">
        <v>860</v>
      </c>
      <c r="L27" s="5">
        <v>1156</v>
      </c>
      <c r="M27" s="5">
        <v>1399</v>
      </c>
      <c r="N27" s="5">
        <v>3</v>
      </c>
      <c r="O27" s="5">
        <v>1611</v>
      </c>
      <c r="P27" s="7">
        <v>0</v>
      </c>
    </row>
    <row r="28" spans="1:16" x14ac:dyDescent="0.4">
      <c r="B28">
        <v>500</v>
      </c>
      <c r="C28">
        <v>31</v>
      </c>
      <c r="D28">
        <v>1306</v>
      </c>
      <c r="E28" s="5">
        <v>163</v>
      </c>
      <c r="F28" s="3">
        <f t="shared" si="34"/>
        <v>1</v>
      </c>
      <c r="G28" s="3">
        <f t="shared" si="35"/>
        <v>0.8706666666666667</v>
      </c>
      <c r="H28" s="3">
        <f t="shared" si="36"/>
        <v>6.2E-2</v>
      </c>
      <c r="I28" s="5">
        <v>1381</v>
      </c>
      <c r="J28" s="5">
        <v>1469</v>
      </c>
      <c r="K28" s="5">
        <v>1848</v>
      </c>
      <c r="L28" s="5">
        <v>2310</v>
      </c>
      <c r="M28" s="5">
        <v>2799</v>
      </c>
      <c r="N28" s="5">
        <v>1</v>
      </c>
      <c r="O28" s="5">
        <v>3201</v>
      </c>
      <c r="P28" s="6">
        <v>8.1500000000000003E-2</v>
      </c>
    </row>
    <row r="29" spans="1:16" x14ac:dyDescent="0.4">
      <c r="B29">
        <v>500</v>
      </c>
      <c r="C29">
        <v>44</v>
      </c>
      <c r="D29">
        <v>1456</v>
      </c>
      <c r="E29" s="5">
        <v>0</v>
      </c>
      <c r="F29" s="3">
        <f t="shared" si="34"/>
        <v>1</v>
      </c>
      <c r="G29" s="3">
        <f t="shared" si="35"/>
        <v>0.97066666666666668</v>
      </c>
      <c r="H29" s="3">
        <f t="shared" si="36"/>
        <v>8.7999999999999995E-2</v>
      </c>
      <c r="I29" s="5">
        <v>425</v>
      </c>
      <c r="J29" s="5">
        <v>129</v>
      </c>
      <c r="K29" s="5">
        <v>1540</v>
      </c>
      <c r="L29" s="5">
        <v>1836</v>
      </c>
      <c r="M29" s="5">
        <v>2342</v>
      </c>
      <c r="N29" s="5">
        <v>3</v>
      </c>
      <c r="O29" s="5">
        <v>3218</v>
      </c>
      <c r="P29" s="7">
        <v>0</v>
      </c>
    </row>
    <row r="30" spans="1:16" x14ac:dyDescent="0.4">
      <c r="B30">
        <v>491</v>
      </c>
      <c r="C30">
        <v>32</v>
      </c>
      <c r="D30">
        <v>1477</v>
      </c>
      <c r="E30" s="5">
        <v>0</v>
      </c>
      <c r="F30" s="3">
        <f t="shared" si="34"/>
        <v>0.98199999999999998</v>
      </c>
      <c r="G30" s="3">
        <f t="shared" si="35"/>
        <v>0.98466666666666669</v>
      </c>
      <c r="H30" s="3">
        <f t="shared" si="36"/>
        <v>6.4000000000000001E-2</v>
      </c>
      <c r="I30" s="5">
        <v>741</v>
      </c>
      <c r="J30" s="5">
        <v>666</v>
      </c>
      <c r="K30" s="5">
        <v>1375</v>
      </c>
      <c r="L30" s="5">
        <v>1905</v>
      </c>
      <c r="M30" s="5">
        <v>2146</v>
      </c>
      <c r="N30" s="5">
        <v>12</v>
      </c>
      <c r="O30" s="5">
        <v>2433</v>
      </c>
      <c r="P30" s="7">
        <v>0</v>
      </c>
    </row>
    <row r="31" spans="1:16" x14ac:dyDescent="0.4">
      <c r="A31" t="s">
        <v>11</v>
      </c>
      <c r="B31">
        <f>SUM(B26:B30)/5</f>
        <v>498.2</v>
      </c>
      <c r="C31">
        <f t="shared" ref="C31:E31" si="37">SUM(C26:C30)/5</f>
        <v>35.200000000000003</v>
      </c>
      <c r="D31">
        <f t="shared" si="37"/>
        <v>1380.2</v>
      </c>
      <c r="E31">
        <f t="shared" si="37"/>
        <v>86.4</v>
      </c>
      <c r="F31" s="3">
        <f t="shared" ref="F31" si="38">SUM(F26:F30)/5</f>
        <v>0.99640000000000006</v>
      </c>
      <c r="G31" s="3">
        <f t="shared" si="35"/>
        <v>0.92013333333333336</v>
      </c>
      <c r="H31" s="3">
        <f t="shared" si="36"/>
        <v>7.0400000000000004E-2</v>
      </c>
      <c r="I31">
        <f t="shared" ref="I31" si="39">SUM(I26:I30)/5</f>
        <v>712.8</v>
      </c>
      <c r="J31">
        <f t="shared" ref="J31" si="40">SUM(J26:J30)/5</f>
        <v>594.20000000000005</v>
      </c>
      <c r="K31">
        <f t="shared" ref="K31" si="41">SUM(K26:K30)/5</f>
        <v>1401.8</v>
      </c>
      <c r="L31">
        <f t="shared" ref="L31" si="42">SUM(L26:L30)/5</f>
        <v>1736</v>
      </c>
      <c r="M31">
        <f t="shared" ref="M31" si="43">SUM(M26:M30)/5</f>
        <v>2103.4</v>
      </c>
      <c r="N31">
        <f t="shared" ref="N31" si="44">SUM(N26:N30)/5</f>
        <v>3.8</v>
      </c>
      <c r="O31">
        <f t="shared" ref="O31" si="45">SUM(O26:O30)/5</f>
        <v>2567.8000000000002</v>
      </c>
      <c r="P31" s="4">
        <f t="shared" ref="P31" si="46">SUM(P26:P30)/5</f>
        <v>4.3200000000000002E-2</v>
      </c>
    </row>
    <row r="32" spans="1:16" x14ac:dyDescent="0.4">
      <c r="G32" s="2"/>
    </row>
    <row r="33" spans="1:16" x14ac:dyDescent="0.4">
      <c r="G33" s="2"/>
    </row>
    <row r="34" spans="1:16" x14ac:dyDescent="0.4">
      <c r="A34" s="1" t="s">
        <v>14</v>
      </c>
      <c r="B34">
        <v>994</v>
      </c>
      <c r="C34">
        <v>77</v>
      </c>
      <c r="D34">
        <v>929</v>
      </c>
      <c r="E34">
        <v>0</v>
      </c>
      <c r="F34" s="3">
        <f>B34/1000</f>
        <v>0.99399999999999999</v>
      </c>
      <c r="G34" s="3">
        <f>D34/(2000-1000)</f>
        <v>0.92900000000000005</v>
      </c>
      <c r="H34" s="3">
        <f>C34/1000</f>
        <v>7.6999999999999999E-2</v>
      </c>
      <c r="I34">
        <v>1667</v>
      </c>
      <c r="J34">
        <v>1730</v>
      </c>
      <c r="K34">
        <v>2351</v>
      </c>
      <c r="L34">
        <v>2693</v>
      </c>
      <c r="M34">
        <v>2920</v>
      </c>
      <c r="N34">
        <v>22</v>
      </c>
      <c r="O34">
        <v>3363</v>
      </c>
      <c r="P34" s="7">
        <v>0</v>
      </c>
    </row>
    <row r="35" spans="1:16" x14ac:dyDescent="0.4">
      <c r="B35">
        <v>994</v>
      </c>
      <c r="C35">
        <v>69</v>
      </c>
      <c r="D35">
        <v>937</v>
      </c>
      <c r="E35">
        <v>0</v>
      </c>
      <c r="F35" s="3">
        <f t="shared" ref="F35:F39" si="47">B35/1000</f>
        <v>0.99399999999999999</v>
      </c>
      <c r="G35" s="3">
        <f t="shared" ref="G35:G39" si="48">D35/(2000-1000)</f>
        <v>0.93700000000000006</v>
      </c>
      <c r="H35" s="3">
        <f t="shared" ref="H35:H39" si="49">C35/1000</f>
        <v>6.9000000000000006E-2</v>
      </c>
      <c r="I35">
        <v>1602</v>
      </c>
      <c r="J35">
        <v>1715</v>
      </c>
      <c r="K35">
        <v>2266</v>
      </c>
      <c r="L35">
        <v>2580</v>
      </c>
      <c r="M35">
        <v>2872</v>
      </c>
      <c r="N35">
        <v>16</v>
      </c>
      <c r="O35">
        <v>3252</v>
      </c>
      <c r="P35" s="7">
        <v>0</v>
      </c>
    </row>
    <row r="36" spans="1:16" x14ac:dyDescent="0.4">
      <c r="B36">
        <v>991</v>
      </c>
      <c r="C36">
        <v>55</v>
      </c>
      <c r="D36">
        <v>954</v>
      </c>
      <c r="E36">
        <v>0</v>
      </c>
      <c r="F36" s="3">
        <f t="shared" si="47"/>
        <v>0.99099999999999999</v>
      </c>
      <c r="G36" s="3">
        <f t="shared" si="48"/>
        <v>0.95399999999999996</v>
      </c>
      <c r="H36" s="3">
        <f t="shared" si="49"/>
        <v>5.5E-2</v>
      </c>
      <c r="I36">
        <v>1837</v>
      </c>
      <c r="J36">
        <v>2071</v>
      </c>
      <c r="K36">
        <v>2683</v>
      </c>
      <c r="L36">
        <v>3078</v>
      </c>
      <c r="M36">
        <v>3331</v>
      </c>
      <c r="N36">
        <v>10</v>
      </c>
      <c r="O36">
        <v>3544</v>
      </c>
      <c r="P36" s="7">
        <v>0</v>
      </c>
    </row>
    <row r="37" spans="1:16" x14ac:dyDescent="0.4">
      <c r="B37">
        <v>991</v>
      </c>
      <c r="C37">
        <v>63</v>
      </c>
      <c r="D37">
        <v>946</v>
      </c>
      <c r="E37">
        <v>0</v>
      </c>
      <c r="F37" s="3">
        <f t="shared" si="47"/>
        <v>0.99099999999999999</v>
      </c>
      <c r="G37" s="3">
        <f t="shared" si="48"/>
        <v>0.94599999999999995</v>
      </c>
      <c r="H37" s="3">
        <f t="shared" si="49"/>
        <v>6.3E-2</v>
      </c>
      <c r="I37">
        <v>1825</v>
      </c>
      <c r="J37">
        <v>1995</v>
      </c>
      <c r="K37">
        <v>2590</v>
      </c>
      <c r="L37">
        <v>2965</v>
      </c>
      <c r="M37">
        <v>3203</v>
      </c>
      <c r="N37">
        <v>15</v>
      </c>
      <c r="O37">
        <v>3595</v>
      </c>
      <c r="P37" s="7">
        <v>0</v>
      </c>
    </row>
    <row r="38" spans="1:16" x14ac:dyDescent="0.4">
      <c r="B38">
        <v>991</v>
      </c>
      <c r="C38">
        <v>67</v>
      </c>
      <c r="D38">
        <v>942</v>
      </c>
      <c r="E38">
        <v>0</v>
      </c>
      <c r="F38" s="3">
        <f t="shared" si="47"/>
        <v>0.99099999999999999</v>
      </c>
      <c r="G38" s="3">
        <f t="shared" si="48"/>
        <v>0.94199999999999995</v>
      </c>
      <c r="H38" s="3">
        <f t="shared" si="49"/>
        <v>6.7000000000000004E-2</v>
      </c>
      <c r="I38">
        <v>1498</v>
      </c>
      <c r="J38">
        <v>1658</v>
      </c>
      <c r="K38">
        <v>2114</v>
      </c>
      <c r="L38">
        <v>2712</v>
      </c>
      <c r="M38">
        <v>2996</v>
      </c>
      <c r="N38">
        <v>10</v>
      </c>
      <c r="O38">
        <v>3463</v>
      </c>
      <c r="P38" s="7">
        <v>0</v>
      </c>
    </row>
    <row r="39" spans="1:16" x14ac:dyDescent="0.4">
      <c r="A39" t="s">
        <v>11</v>
      </c>
      <c r="B39">
        <f>SUM(B34:B38)/5</f>
        <v>992.2</v>
      </c>
      <c r="C39">
        <f t="shared" ref="C39:D39" si="50">SUM(C34:C38)/5</f>
        <v>66.2</v>
      </c>
      <c r="D39">
        <f t="shared" si="50"/>
        <v>941.6</v>
      </c>
      <c r="E39">
        <f t="shared" ref="E39" si="51">SUM(E34:E38)/5</f>
        <v>0</v>
      </c>
      <c r="F39" s="3">
        <f t="shared" ref="F39" si="52">SUM(F34:F38)/5</f>
        <v>0.99220000000000008</v>
      </c>
      <c r="G39" s="3">
        <f t="shared" si="48"/>
        <v>0.94159999999999999</v>
      </c>
      <c r="H39" s="3">
        <f t="shared" si="49"/>
        <v>6.6200000000000009E-2</v>
      </c>
      <c r="I39">
        <f t="shared" ref="I39" si="53">SUM(I34:I38)/5</f>
        <v>1685.8</v>
      </c>
      <c r="J39">
        <f t="shared" ref="J39" si="54">SUM(J34:J38)/5</f>
        <v>1833.8</v>
      </c>
      <c r="K39">
        <f t="shared" ref="K39" si="55">SUM(K34:K38)/5</f>
        <v>2400.8000000000002</v>
      </c>
      <c r="L39">
        <f t="shared" ref="L39" si="56">SUM(L34:L38)/5</f>
        <v>2805.6</v>
      </c>
      <c r="M39">
        <f t="shared" ref="M39" si="57">SUM(M34:M38)/5</f>
        <v>3064.4</v>
      </c>
      <c r="N39">
        <f t="shared" ref="N39" si="58">SUM(N34:N38)/5</f>
        <v>14.6</v>
      </c>
      <c r="O39">
        <f t="shared" ref="O39" si="59">SUM(O34:O38)/5</f>
        <v>3443.4</v>
      </c>
      <c r="P39" s="7">
        <v>0</v>
      </c>
    </row>
    <row r="40" spans="1:16" x14ac:dyDescent="0.4">
      <c r="G4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Hong</dc:creator>
  <cp:lastModifiedBy>Joe Hong</cp:lastModifiedBy>
  <dcterms:created xsi:type="dcterms:W3CDTF">2026-05-06T06:54:50Z</dcterms:created>
  <dcterms:modified xsi:type="dcterms:W3CDTF">2026-05-07T17:14:07Z</dcterms:modified>
</cp:coreProperties>
</file>