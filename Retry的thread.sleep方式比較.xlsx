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PLUS_PLUS\OneDrive - 國立宜蘭大學\桌面\coupon-demo\coupon-demo\"/>
    </mc:Choice>
  </mc:AlternateContent>
  <xr:revisionPtr revIDLastSave="0" documentId="13_ncr:1_{CE5D7D44-5317-4813-8D76-DE9DF51339EF}" xr6:coauthVersionLast="47" xr6:coauthVersionMax="47" xr10:uidLastSave="{00000000-0000-0000-0000-000000000000}"/>
  <bookViews>
    <workbookView xWindow="-110" yWindow="-110" windowWidth="19420" windowHeight="11500" xr2:uid="{608F7201-E434-4565-92F7-6AD10B08AB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7" i="1"/>
  <c r="Q18" i="1"/>
  <c r="Q19" i="1"/>
  <c r="Q20" i="1"/>
  <c r="Q21" i="1"/>
  <c r="Q16" i="1"/>
  <c r="Q9" i="1"/>
  <c r="Q3" i="1"/>
  <c r="Q4" i="1"/>
  <c r="Q5" i="1"/>
  <c r="Q6" i="1"/>
  <c r="Q7" i="1"/>
  <c r="Q2" i="1"/>
  <c r="D2" i="1"/>
  <c r="D17" i="1"/>
  <c r="D18" i="1"/>
  <c r="D19" i="1"/>
  <c r="D20" i="1"/>
  <c r="D21" i="1"/>
  <c r="D16" i="1"/>
  <c r="D10" i="1"/>
  <c r="D11" i="1"/>
  <c r="D12" i="1"/>
  <c r="D13" i="1"/>
  <c r="D14" i="1"/>
  <c r="D9" i="1"/>
  <c r="D3" i="1"/>
  <c r="D4" i="1"/>
  <c r="D5" i="1"/>
  <c r="D6" i="1"/>
  <c r="D7" i="1"/>
  <c r="R7" i="1"/>
  <c r="S7" i="1"/>
  <c r="T7" i="1"/>
  <c r="U7" i="1"/>
  <c r="V7" i="1"/>
  <c r="W7" i="1"/>
  <c r="X7" i="1"/>
  <c r="R14" i="1"/>
  <c r="S14" i="1"/>
  <c r="T14" i="1"/>
  <c r="U14" i="1"/>
  <c r="V14" i="1"/>
  <c r="W14" i="1"/>
  <c r="X14" i="1"/>
  <c r="R21" i="1"/>
  <c r="S21" i="1"/>
  <c r="T21" i="1"/>
  <c r="U21" i="1"/>
  <c r="V21" i="1"/>
  <c r="W21" i="1"/>
  <c r="X21" i="1"/>
  <c r="E7" i="1"/>
  <c r="F7" i="1"/>
  <c r="G7" i="1"/>
  <c r="H7" i="1"/>
  <c r="I7" i="1"/>
  <c r="J7" i="1"/>
  <c r="K7" i="1"/>
  <c r="E14" i="1"/>
  <c r="F14" i="1"/>
  <c r="G14" i="1"/>
  <c r="H14" i="1"/>
  <c r="I14" i="1"/>
  <c r="J14" i="1"/>
  <c r="K14" i="1"/>
  <c r="E21" i="1"/>
  <c r="F21" i="1"/>
  <c r="G21" i="1"/>
  <c r="H21" i="1"/>
  <c r="I21" i="1"/>
  <c r="J21" i="1"/>
  <c r="K21" i="1"/>
  <c r="O7" i="1"/>
  <c r="P7" i="1"/>
  <c r="O14" i="1"/>
  <c r="P14" i="1"/>
  <c r="O21" i="1"/>
  <c r="P21" i="1"/>
  <c r="C21" i="1"/>
  <c r="B21" i="1"/>
  <c r="B14" i="1"/>
  <c r="C14" i="1"/>
  <c r="C7" i="1"/>
  <c r="B7" i="1"/>
</calcChain>
</file>

<file path=xl/sharedStrings.xml><?xml version="1.0" encoding="utf-8"?>
<sst xmlns="http://schemas.openxmlformats.org/spreadsheetml/2006/main" count="36" uniqueCount="18">
  <si>
    <t>baseDelay + retryTime * stepDelay + jitter;</t>
    <phoneticPr fontId="1" type="noConversion"/>
  </si>
  <si>
    <t>average_latency</t>
    <phoneticPr fontId="1" type="noConversion"/>
  </si>
  <si>
    <t>min_latency</t>
    <phoneticPr fontId="1" type="noConversion"/>
  </si>
  <si>
    <t>max_latency</t>
    <phoneticPr fontId="1" type="noConversion"/>
  </si>
  <si>
    <t>samples</t>
    <phoneticPr fontId="1" type="noConversion"/>
  </si>
  <si>
    <t>CONFLICT_TRY_AGAIN</t>
    <phoneticPr fontId="1" type="noConversion"/>
  </si>
  <si>
    <t>SUCCESS</t>
  </si>
  <si>
    <t xml:space="preserve">Thread.sleep(retryTime*50L);  </t>
    <phoneticPr fontId="1" type="noConversion"/>
  </si>
  <si>
    <t>平均</t>
    <phoneticPr fontId="1" type="noConversion"/>
  </si>
  <si>
    <t>median_latency</t>
    <phoneticPr fontId="1" type="noConversion"/>
  </si>
  <si>
    <t>90%_latency</t>
    <phoneticPr fontId="1" type="noConversion"/>
  </si>
  <si>
    <t>95%_latency</t>
    <phoneticPr fontId="1" type="noConversion"/>
  </si>
  <si>
    <t>99%_latency</t>
    <phoneticPr fontId="1" type="noConversion"/>
  </si>
  <si>
    <t>CONFLICT_TRY_AGAIN/issue</t>
  </si>
  <si>
    <t>CONFLICT_TRY_AGAIN/issue</t>
    <phoneticPr fontId="1" type="noConversion"/>
  </si>
  <si>
    <t>500request</t>
    <phoneticPr fontId="1" type="noConversion"/>
  </si>
  <si>
    <t>100request</t>
    <phoneticPr fontId="1" type="noConversion"/>
  </si>
  <si>
    <t>50request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</si>
</sst>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"/>
      <family val="2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9" fontId="0" fillId="0" borderId="0" xfId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EE22-905B-4C7A-BF40-C9153EAABE56}">
  <dimension ref="A1:Y21"/>
  <sheetViews>
    <sheetView tabSelected="1" topLeftCell="H1" zoomScale="55" zoomScaleNormal="55" workbookViewId="0">
      <selection activeCell="N16" sqref="N16"/>
    </sheetView>
  </sheetViews>
  <sheetFormatPr defaultRowHeight="17" x14ac:dyDescent="0.4"/>
  <cols>
    <col min="1" max="1" width="32.453125" customWidth="1"/>
    <col min="2" max="2" width="10.6328125" bestFit="1" customWidth="1"/>
    <col min="3" max="3" width="26.1796875" bestFit="1" customWidth="1"/>
    <col min="4" max="4" width="31.36328125" bestFit="1" customWidth="1"/>
    <col min="5" max="5" width="14.81640625" bestFit="1" customWidth="1"/>
    <col min="6" max="6" width="11.6328125" bestFit="1" customWidth="1"/>
    <col min="7" max="7" width="12" bestFit="1" customWidth="1"/>
    <col min="8" max="8" width="14.6328125" bestFit="1" customWidth="1"/>
    <col min="9" max="11" width="12.1796875" bestFit="1" customWidth="1"/>
    <col min="12" max="12" width="8.36328125" bestFit="1" customWidth="1"/>
    <col min="13" max="13" width="39.26953125" bestFit="1" customWidth="1"/>
    <col min="14" max="14" width="39.453125" bestFit="1" customWidth="1"/>
    <col min="15" max="15" width="10.6328125" bestFit="1" customWidth="1"/>
    <col min="16" max="16" width="26.1796875" bestFit="1" customWidth="1"/>
    <col min="17" max="17" width="31.36328125" bestFit="1" customWidth="1"/>
    <col min="18" max="18" width="14.81640625" bestFit="1" customWidth="1"/>
    <col min="19" max="19" width="11.6328125" bestFit="1" customWidth="1"/>
    <col min="20" max="20" width="12" bestFit="1" customWidth="1"/>
    <col min="21" max="21" width="14.6328125" bestFit="1" customWidth="1"/>
    <col min="22" max="24" width="12.1796875" bestFit="1" customWidth="1"/>
    <col min="25" max="25" width="8.36328125" bestFit="1" customWidth="1"/>
  </cols>
  <sheetData>
    <row r="1" spans="1:25" x14ac:dyDescent="0.4">
      <c r="A1" s="1" t="s">
        <v>7</v>
      </c>
      <c r="B1" t="s">
        <v>6</v>
      </c>
      <c r="C1" t="s">
        <v>5</v>
      </c>
      <c r="D1" t="s">
        <v>14</v>
      </c>
      <c r="E1" t="s">
        <v>1</v>
      </c>
      <c r="F1" t="s">
        <v>2</v>
      </c>
      <c r="G1" t="s">
        <v>3</v>
      </c>
      <c r="H1" t="s">
        <v>9</v>
      </c>
      <c r="I1" t="s">
        <v>10</v>
      </c>
      <c r="J1" t="s">
        <v>11</v>
      </c>
      <c r="K1" t="s">
        <v>12</v>
      </c>
      <c r="L1" t="s">
        <v>4</v>
      </c>
      <c r="M1" s="1"/>
      <c r="N1" t="s">
        <v>0</v>
      </c>
      <c r="O1" t="s">
        <v>6</v>
      </c>
      <c r="P1" t="s">
        <v>5</v>
      </c>
      <c r="Q1" t="s">
        <v>13</v>
      </c>
      <c r="R1" t="s">
        <v>1</v>
      </c>
      <c r="S1" t="s">
        <v>2</v>
      </c>
      <c r="T1" t="s">
        <v>3</v>
      </c>
      <c r="U1" t="s">
        <v>9</v>
      </c>
      <c r="V1" t="s">
        <v>10</v>
      </c>
      <c r="W1" t="s">
        <v>11</v>
      </c>
      <c r="X1" t="s">
        <v>12</v>
      </c>
      <c r="Y1" t="s">
        <v>4</v>
      </c>
    </row>
    <row r="2" spans="1:25" x14ac:dyDescent="0.4">
      <c r="A2" s="1" t="s">
        <v>17</v>
      </c>
      <c r="B2">
        <v>50</v>
      </c>
      <c r="C2">
        <v>0</v>
      </c>
      <c r="D2" s="2">
        <f>C2/50</f>
        <v>0</v>
      </c>
      <c r="E2">
        <v>28</v>
      </c>
      <c r="F2">
        <v>15</v>
      </c>
      <c r="G2">
        <v>216</v>
      </c>
      <c r="H2">
        <v>23</v>
      </c>
      <c r="I2">
        <v>33</v>
      </c>
      <c r="J2">
        <v>38</v>
      </c>
      <c r="K2">
        <v>216</v>
      </c>
      <c r="L2">
        <v>50</v>
      </c>
      <c r="N2" s="1" t="s">
        <v>17</v>
      </c>
      <c r="O2">
        <v>50</v>
      </c>
      <c r="P2">
        <v>0</v>
      </c>
      <c r="Q2" s="2">
        <f>P2/50</f>
        <v>0</v>
      </c>
      <c r="R2">
        <v>43</v>
      </c>
      <c r="S2">
        <v>16</v>
      </c>
      <c r="T2">
        <v>301</v>
      </c>
      <c r="U2">
        <v>24</v>
      </c>
      <c r="V2">
        <v>106</v>
      </c>
      <c r="W2">
        <v>164</v>
      </c>
      <c r="X2">
        <v>301</v>
      </c>
      <c r="Y2">
        <v>50</v>
      </c>
    </row>
    <row r="3" spans="1:25" x14ac:dyDescent="0.4">
      <c r="B3">
        <v>49</v>
      </c>
      <c r="C3">
        <v>1</v>
      </c>
      <c r="D3" s="2">
        <f t="shared" ref="D3:D21" si="0">C3/50</f>
        <v>0.02</v>
      </c>
      <c r="E3">
        <v>40</v>
      </c>
      <c r="F3">
        <v>14</v>
      </c>
      <c r="G3">
        <v>283</v>
      </c>
      <c r="H3">
        <v>22</v>
      </c>
      <c r="I3">
        <v>93</v>
      </c>
      <c r="J3">
        <v>114</v>
      </c>
      <c r="K3">
        <v>283</v>
      </c>
      <c r="L3">
        <v>50</v>
      </c>
      <c r="O3">
        <v>49</v>
      </c>
      <c r="P3">
        <v>1</v>
      </c>
      <c r="Q3" s="2">
        <f t="shared" ref="Q3:Q7" si="1">P3/50</f>
        <v>0.02</v>
      </c>
      <c r="R3">
        <v>37</v>
      </c>
      <c r="S3">
        <v>15</v>
      </c>
      <c r="T3">
        <v>309</v>
      </c>
      <c r="U3">
        <v>23</v>
      </c>
      <c r="V3">
        <v>60</v>
      </c>
      <c r="W3">
        <v>87</v>
      </c>
      <c r="X3">
        <v>309</v>
      </c>
      <c r="Y3">
        <v>50</v>
      </c>
    </row>
    <row r="4" spans="1:25" x14ac:dyDescent="0.4">
      <c r="B4">
        <v>50</v>
      </c>
      <c r="C4">
        <v>0</v>
      </c>
      <c r="D4" s="2">
        <f t="shared" si="0"/>
        <v>0</v>
      </c>
      <c r="E4">
        <v>23</v>
      </c>
      <c r="F4">
        <v>15</v>
      </c>
      <c r="G4">
        <v>96</v>
      </c>
      <c r="H4">
        <v>20</v>
      </c>
      <c r="I4">
        <v>34</v>
      </c>
      <c r="J4">
        <v>40</v>
      </c>
      <c r="K4">
        <v>96</v>
      </c>
      <c r="L4">
        <v>50</v>
      </c>
      <c r="O4">
        <v>50</v>
      </c>
      <c r="P4">
        <v>0</v>
      </c>
      <c r="Q4" s="2">
        <f t="shared" si="1"/>
        <v>0</v>
      </c>
      <c r="R4">
        <v>18</v>
      </c>
      <c r="S4">
        <v>12</v>
      </c>
      <c r="T4">
        <v>26</v>
      </c>
      <c r="U4">
        <v>18</v>
      </c>
      <c r="V4">
        <v>21</v>
      </c>
      <c r="W4">
        <v>21</v>
      </c>
      <c r="X4">
        <v>26</v>
      </c>
      <c r="Y4">
        <v>50</v>
      </c>
    </row>
    <row r="5" spans="1:25" x14ac:dyDescent="0.4">
      <c r="B5">
        <v>50</v>
      </c>
      <c r="C5">
        <v>0</v>
      </c>
      <c r="D5" s="2">
        <f t="shared" si="0"/>
        <v>0</v>
      </c>
      <c r="E5">
        <v>18</v>
      </c>
      <c r="F5">
        <v>12</v>
      </c>
      <c r="G5">
        <v>34</v>
      </c>
      <c r="H5">
        <v>18</v>
      </c>
      <c r="I5">
        <v>21</v>
      </c>
      <c r="J5">
        <v>23</v>
      </c>
      <c r="K5">
        <v>34</v>
      </c>
      <c r="L5">
        <v>50</v>
      </c>
      <c r="O5">
        <v>50</v>
      </c>
      <c r="P5">
        <v>0</v>
      </c>
      <c r="Q5" s="2">
        <f t="shared" si="1"/>
        <v>0</v>
      </c>
      <c r="R5">
        <v>47</v>
      </c>
      <c r="S5">
        <v>16</v>
      </c>
      <c r="T5">
        <v>271</v>
      </c>
      <c r="U5">
        <v>21</v>
      </c>
      <c r="V5">
        <v>145</v>
      </c>
      <c r="W5">
        <v>186</v>
      </c>
      <c r="X5">
        <v>271</v>
      </c>
      <c r="Y5">
        <v>50</v>
      </c>
    </row>
    <row r="6" spans="1:25" x14ac:dyDescent="0.4">
      <c r="A6" s="1"/>
      <c r="B6">
        <v>50</v>
      </c>
      <c r="C6">
        <v>0</v>
      </c>
      <c r="D6" s="2">
        <f t="shared" si="0"/>
        <v>0</v>
      </c>
      <c r="E6">
        <v>16</v>
      </c>
      <c r="F6">
        <v>11</v>
      </c>
      <c r="G6">
        <v>31</v>
      </c>
      <c r="H6">
        <v>16</v>
      </c>
      <c r="I6">
        <v>20</v>
      </c>
      <c r="J6">
        <v>20</v>
      </c>
      <c r="K6">
        <v>31</v>
      </c>
      <c r="L6">
        <v>50</v>
      </c>
      <c r="M6" s="1"/>
      <c r="N6" s="1"/>
      <c r="O6">
        <v>50</v>
      </c>
      <c r="P6">
        <v>0</v>
      </c>
      <c r="Q6" s="2">
        <f t="shared" si="1"/>
        <v>0</v>
      </c>
      <c r="R6">
        <v>18</v>
      </c>
      <c r="S6">
        <v>12</v>
      </c>
      <c r="T6">
        <v>25</v>
      </c>
      <c r="U6">
        <v>18</v>
      </c>
      <c r="V6">
        <v>20</v>
      </c>
      <c r="W6">
        <v>21</v>
      </c>
      <c r="X6">
        <v>25</v>
      </c>
      <c r="Y6">
        <v>50</v>
      </c>
    </row>
    <row r="7" spans="1:25" x14ac:dyDescent="0.4">
      <c r="A7" t="s">
        <v>8</v>
      </c>
      <c r="B7">
        <f t="shared" ref="B7:J7" si="2">SUM(B2:B6)/5</f>
        <v>49.8</v>
      </c>
      <c r="C7">
        <f t="shared" si="2"/>
        <v>0.2</v>
      </c>
      <c r="D7" s="2">
        <f t="shared" si="0"/>
        <v>4.0000000000000001E-3</v>
      </c>
      <c r="E7">
        <f t="shared" ref="E7" si="3">SUM(E2:E6)/5</f>
        <v>25</v>
      </c>
      <c r="F7">
        <f t="shared" ref="F7" si="4">SUM(F2:F6)/5</f>
        <v>13.4</v>
      </c>
      <c r="G7">
        <f t="shared" ref="G7" si="5">SUM(G2:G6)/5</f>
        <v>132</v>
      </c>
      <c r="H7">
        <f t="shared" ref="H7" si="6">SUM(H2:H6)/5</f>
        <v>19.8</v>
      </c>
      <c r="I7">
        <f t="shared" ref="I7" si="7">SUM(I2:I6)/5</f>
        <v>40.200000000000003</v>
      </c>
      <c r="J7">
        <f t="shared" ref="J7" si="8">SUM(J2:J6)/5</f>
        <v>47</v>
      </c>
      <c r="K7">
        <f t="shared" ref="K7" si="9">SUM(K2:K6)/5</f>
        <v>132</v>
      </c>
      <c r="L7">
        <v>50</v>
      </c>
      <c r="N7" t="s">
        <v>8</v>
      </c>
      <c r="O7">
        <f t="shared" ref="O7" si="10">SUM(O2:O6)/5</f>
        <v>49.8</v>
      </c>
      <c r="P7">
        <f t="shared" ref="P7" si="11">SUM(P2:P6)/5</f>
        <v>0.2</v>
      </c>
      <c r="Q7" s="2">
        <f t="shared" si="1"/>
        <v>4.0000000000000001E-3</v>
      </c>
      <c r="R7">
        <f t="shared" ref="R7" si="12">SUM(R2:R6)/5</f>
        <v>32.6</v>
      </c>
      <c r="S7">
        <f t="shared" ref="S7" si="13">SUM(S2:S6)/5</f>
        <v>14.2</v>
      </c>
      <c r="T7">
        <f t="shared" ref="T7" si="14">SUM(T2:T6)/5</f>
        <v>186.4</v>
      </c>
      <c r="U7">
        <f t="shared" ref="U7" si="15">SUM(U2:U6)/5</f>
        <v>20.8</v>
      </c>
      <c r="V7">
        <f t="shared" ref="V7" si="16">SUM(V2:V6)/5</f>
        <v>70.400000000000006</v>
      </c>
      <c r="W7">
        <f t="shared" ref="W7" si="17">SUM(W2:W6)/5</f>
        <v>95.8</v>
      </c>
      <c r="X7">
        <f t="shared" ref="X7" si="18">SUM(X2:X6)/5</f>
        <v>186.4</v>
      </c>
      <c r="Y7">
        <v>50</v>
      </c>
    </row>
    <row r="8" spans="1:25" x14ac:dyDescent="0.4">
      <c r="D8" s="2"/>
    </row>
    <row r="9" spans="1:25" x14ac:dyDescent="0.4">
      <c r="A9" t="s">
        <v>16</v>
      </c>
      <c r="B9">
        <v>96</v>
      </c>
      <c r="C9">
        <v>4</v>
      </c>
      <c r="D9" s="2">
        <f>C9/100</f>
        <v>0.04</v>
      </c>
      <c r="E9">
        <v>55</v>
      </c>
      <c r="F9">
        <v>10</v>
      </c>
      <c r="G9">
        <v>302</v>
      </c>
      <c r="H9">
        <v>16</v>
      </c>
      <c r="I9">
        <v>177</v>
      </c>
      <c r="J9">
        <v>210</v>
      </c>
      <c r="K9">
        <v>268</v>
      </c>
      <c r="L9">
        <v>100</v>
      </c>
      <c r="N9" t="s">
        <v>16</v>
      </c>
      <c r="O9">
        <v>99</v>
      </c>
      <c r="P9">
        <v>1</v>
      </c>
      <c r="Q9" s="2">
        <f>P9/50</f>
        <v>0.02</v>
      </c>
      <c r="R9">
        <v>167</v>
      </c>
      <c r="S9">
        <v>14</v>
      </c>
      <c r="T9">
        <v>410</v>
      </c>
      <c r="U9">
        <v>144</v>
      </c>
      <c r="V9">
        <v>468</v>
      </c>
      <c r="W9">
        <v>509</v>
      </c>
      <c r="X9">
        <v>567</v>
      </c>
      <c r="Y9">
        <v>100</v>
      </c>
    </row>
    <row r="10" spans="1:25" x14ac:dyDescent="0.4">
      <c r="B10">
        <v>100</v>
      </c>
      <c r="C10">
        <v>0</v>
      </c>
      <c r="D10" s="2">
        <f t="shared" ref="D10:D14" si="19">C10/100</f>
        <v>0</v>
      </c>
      <c r="E10">
        <v>15</v>
      </c>
      <c r="F10">
        <v>8</v>
      </c>
      <c r="G10">
        <v>100</v>
      </c>
      <c r="H10">
        <v>14</v>
      </c>
      <c r="I10">
        <v>18</v>
      </c>
      <c r="J10">
        <v>22</v>
      </c>
      <c r="K10">
        <v>83</v>
      </c>
      <c r="L10">
        <v>100</v>
      </c>
      <c r="O10">
        <v>99</v>
      </c>
      <c r="P10">
        <v>1</v>
      </c>
      <c r="Q10" s="2">
        <f t="shared" ref="Q10:Q14" si="20">P10/50</f>
        <v>0.02</v>
      </c>
      <c r="R10">
        <v>28</v>
      </c>
      <c r="S10">
        <v>11</v>
      </c>
      <c r="T10">
        <v>300</v>
      </c>
      <c r="U10">
        <v>17</v>
      </c>
      <c r="V10">
        <v>41</v>
      </c>
      <c r="W10">
        <v>116</v>
      </c>
      <c r="X10">
        <v>127</v>
      </c>
      <c r="Y10">
        <v>100</v>
      </c>
    </row>
    <row r="11" spans="1:25" x14ac:dyDescent="0.4">
      <c r="B11">
        <v>100</v>
      </c>
      <c r="C11">
        <v>0</v>
      </c>
      <c r="D11" s="2">
        <f t="shared" si="19"/>
        <v>0</v>
      </c>
      <c r="E11">
        <v>10</v>
      </c>
      <c r="F11">
        <v>5</v>
      </c>
      <c r="G11">
        <v>28</v>
      </c>
      <c r="H11">
        <v>10</v>
      </c>
      <c r="I11">
        <v>15</v>
      </c>
      <c r="J11">
        <v>16</v>
      </c>
      <c r="K11">
        <v>23</v>
      </c>
      <c r="L11">
        <v>100</v>
      </c>
      <c r="O11">
        <v>100</v>
      </c>
      <c r="P11">
        <v>0</v>
      </c>
      <c r="Q11" s="2">
        <f t="shared" si="20"/>
        <v>0</v>
      </c>
      <c r="R11">
        <v>17</v>
      </c>
      <c r="S11">
        <v>11</v>
      </c>
      <c r="T11">
        <v>123</v>
      </c>
      <c r="U11">
        <v>14</v>
      </c>
      <c r="V11">
        <v>21</v>
      </c>
      <c r="W11">
        <v>33</v>
      </c>
      <c r="X11">
        <v>45</v>
      </c>
      <c r="Y11">
        <v>100</v>
      </c>
    </row>
    <row r="12" spans="1:25" x14ac:dyDescent="0.4">
      <c r="B12">
        <v>99</v>
      </c>
      <c r="C12">
        <v>1</v>
      </c>
      <c r="D12" s="2">
        <f t="shared" si="19"/>
        <v>0.01</v>
      </c>
      <c r="E12">
        <v>17</v>
      </c>
      <c r="F12">
        <v>8</v>
      </c>
      <c r="G12">
        <v>227</v>
      </c>
      <c r="H12">
        <v>13</v>
      </c>
      <c r="I12">
        <v>22</v>
      </c>
      <c r="J12">
        <v>27</v>
      </c>
      <c r="K12">
        <v>93</v>
      </c>
      <c r="L12">
        <v>100</v>
      </c>
      <c r="O12">
        <v>100</v>
      </c>
      <c r="P12">
        <v>0</v>
      </c>
      <c r="Q12" s="2">
        <f t="shared" si="20"/>
        <v>0</v>
      </c>
      <c r="R12">
        <v>18</v>
      </c>
      <c r="S12">
        <v>9</v>
      </c>
      <c r="T12">
        <v>268</v>
      </c>
      <c r="U12">
        <v>14</v>
      </c>
      <c r="V12">
        <v>18</v>
      </c>
      <c r="W12">
        <v>24</v>
      </c>
      <c r="X12">
        <v>129</v>
      </c>
      <c r="Y12">
        <v>100</v>
      </c>
    </row>
    <row r="13" spans="1:25" x14ac:dyDescent="0.4">
      <c r="B13">
        <v>100</v>
      </c>
      <c r="C13">
        <v>0</v>
      </c>
      <c r="D13" s="2">
        <f t="shared" si="19"/>
        <v>0</v>
      </c>
      <c r="E13">
        <v>12</v>
      </c>
      <c r="F13">
        <v>8</v>
      </c>
      <c r="G13">
        <v>77</v>
      </c>
      <c r="H13">
        <v>12</v>
      </c>
      <c r="I13">
        <v>15</v>
      </c>
      <c r="J13">
        <v>18</v>
      </c>
      <c r="K13">
        <v>26</v>
      </c>
      <c r="L13">
        <v>100</v>
      </c>
      <c r="O13">
        <v>100</v>
      </c>
      <c r="P13">
        <v>0</v>
      </c>
      <c r="Q13" s="2">
        <f t="shared" si="20"/>
        <v>0</v>
      </c>
      <c r="R13">
        <v>81</v>
      </c>
      <c r="S13">
        <v>9</v>
      </c>
      <c r="T13">
        <v>447</v>
      </c>
      <c r="U13">
        <v>18</v>
      </c>
      <c r="V13">
        <v>227</v>
      </c>
      <c r="W13">
        <v>298</v>
      </c>
      <c r="X13">
        <v>409</v>
      </c>
      <c r="Y13">
        <v>100</v>
      </c>
    </row>
    <row r="14" spans="1:25" x14ac:dyDescent="0.4">
      <c r="A14" t="s">
        <v>8</v>
      </c>
      <c r="B14">
        <f t="shared" ref="B14:J14" si="21">SUM(B9:B13)/5</f>
        <v>99</v>
      </c>
      <c r="C14">
        <f t="shared" si="21"/>
        <v>1</v>
      </c>
      <c r="D14" s="2">
        <f t="shared" si="19"/>
        <v>0.01</v>
      </c>
      <c r="E14">
        <f t="shared" ref="E14" si="22">SUM(E9:E13)/5</f>
        <v>21.8</v>
      </c>
      <c r="F14">
        <f t="shared" ref="F14" si="23">SUM(F9:F13)/5</f>
        <v>7.8</v>
      </c>
      <c r="G14">
        <f t="shared" ref="G14" si="24">SUM(G9:G13)/5</f>
        <v>146.80000000000001</v>
      </c>
      <c r="H14">
        <f t="shared" ref="H14" si="25">SUM(H9:H13)/5</f>
        <v>13</v>
      </c>
      <c r="I14">
        <f t="shared" ref="I14" si="26">SUM(I9:I13)/5</f>
        <v>49.4</v>
      </c>
      <c r="J14">
        <f t="shared" ref="J14" si="27">SUM(J9:J13)/5</f>
        <v>58.6</v>
      </c>
      <c r="K14">
        <f t="shared" ref="K14" si="28">SUM(K9:K13)/5</f>
        <v>98.6</v>
      </c>
      <c r="L14">
        <v>100</v>
      </c>
      <c r="N14" t="s">
        <v>8</v>
      </c>
      <c r="O14">
        <f t="shared" ref="O14" si="29">SUM(O9:O13)/5</f>
        <v>99.6</v>
      </c>
      <c r="P14">
        <f t="shared" ref="P14" si="30">SUM(P9:P13)/5</f>
        <v>0.4</v>
      </c>
      <c r="Q14" s="2">
        <f t="shared" si="20"/>
        <v>8.0000000000000002E-3</v>
      </c>
      <c r="R14">
        <f t="shared" ref="R14" si="31">SUM(R9:R13)/5</f>
        <v>62.2</v>
      </c>
      <c r="S14">
        <f t="shared" ref="S14" si="32">SUM(S9:S13)/5</f>
        <v>10.8</v>
      </c>
      <c r="T14">
        <f t="shared" ref="T14" si="33">SUM(T9:T13)/5</f>
        <v>309.60000000000002</v>
      </c>
      <c r="U14">
        <f t="shared" ref="U14" si="34">SUM(U9:U13)/5</f>
        <v>41.4</v>
      </c>
      <c r="V14">
        <f t="shared" ref="V14" si="35">SUM(V9:V13)/5</f>
        <v>155</v>
      </c>
      <c r="W14">
        <f t="shared" ref="W14" si="36">SUM(W9:W13)/5</f>
        <v>196</v>
      </c>
      <c r="X14">
        <f t="shared" ref="X14" si="37">SUM(X9:X13)/5</f>
        <v>255.4</v>
      </c>
      <c r="Y14">
        <v>100</v>
      </c>
    </row>
    <row r="15" spans="1:25" x14ac:dyDescent="0.4">
      <c r="D15" s="2"/>
      <c r="Q15" s="2"/>
    </row>
    <row r="16" spans="1:25" x14ac:dyDescent="0.4">
      <c r="A16" t="s">
        <v>15</v>
      </c>
      <c r="B16">
        <v>441</v>
      </c>
      <c r="C16">
        <v>49</v>
      </c>
      <c r="D16" s="2">
        <f>C16/500</f>
        <v>9.8000000000000004E-2</v>
      </c>
      <c r="E16">
        <v>481</v>
      </c>
      <c r="F16">
        <v>7</v>
      </c>
      <c r="G16">
        <v>1304</v>
      </c>
      <c r="H16">
        <v>565</v>
      </c>
      <c r="I16">
        <v>792</v>
      </c>
      <c r="J16">
        <v>873</v>
      </c>
      <c r="K16">
        <v>1059</v>
      </c>
      <c r="L16">
        <v>500</v>
      </c>
      <c r="N16" t="s">
        <v>15</v>
      </c>
      <c r="O16">
        <v>478</v>
      </c>
      <c r="P16">
        <v>28</v>
      </c>
      <c r="Q16" s="2">
        <f>P16/500</f>
        <v>5.6000000000000001E-2</v>
      </c>
      <c r="R16">
        <v>453</v>
      </c>
      <c r="S16">
        <v>9</v>
      </c>
      <c r="T16">
        <v>1423</v>
      </c>
      <c r="U16">
        <v>410</v>
      </c>
      <c r="V16">
        <v>842</v>
      </c>
      <c r="W16">
        <v>902</v>
      </c>
      <c r="X16">
        <v>1044</v>
      </c>
      <c r="Y16">
        <v>500</v>
      </c>
    </row>
    <row r="17" spans="1:25" x14ac:dyDescent="0.4">
      <c r="B17">
        <v>445</v>
      </c>
      <c r="C17">
        <v>55</v>
      </c>
      <c r="D17" s="2">
        <f t="shared" ref="D17:D21" si="38">C17/500</f>
        <v>0.11</v>
      </c>
      <c r="E17">
        <v>409</v>
      </c>
      <c r="F17">
        <v>8</v>
      </c>
      <c r="G17">
        <v>1233</v>
      </c>
      <c r="H17">
        <v>368</v>
      </c>
      <c r="I17">
        <v>775</v>
      </c>
      <c r="J17">
        <v>857</v>
      </c>
      <c r="K17">
        <v>974</v>
      </c>
      <c r="L17">
        <v>500</v>
      </c>
      <c r="O17">
        <v>460</v>
      </c>
      <c r="P17">
        <v>40</v>
      </c>
      <c r="Q17" s="2">
        <f t="shared" ref="Q17:Q21" si="39">P17/500</f>
        <v>0.08</v>
      </c>
      <c r="R17">
        <v>475</v>
      </c>
      <c r="S17">
        <v>8</v>
      </c>
      <c r="T17">
        <v>1392</v>
      </c>
      <c r="U17">
        <v>465</v>
      </c>
      <c r="V17">
        <v>808</v>
      </c>
      <c r="W17">
        <v>882</v>
      </c>
      <c r="X17">
        <v>1103</v>
      </c>
      <c r="Y17">
        <v>500</v>
      </c>
    </row>
    <row r="18" spans="1:25" x14ac:dyDescent="0.4">
      <c r="B18">
        <v>456</v>
      </c>
      <c r="C18">
        <v>44</v>
      </c>
      <c r="D18" s="2">
        <f t="shared" si="38"/>
        <v>8.7999999999999995E-2</v>
      </c>
      <c r="E18">
        <v>356</v>
      </c>
      <c r="F18">
        <v>9</v>
      </c>
      <c r="G18">
        <v>1202</v>
      </c>
      <c r="H18">
        <v>371</v>
      </c>
      <c r="I18">
        <v>642</v>
      </c>
      <c r="J18">
        <v>717</v>
      </c>
      <c r="K18">
        <v>910</v>
      </c>
      <c r="L18">
        <v>500</v>
      </c>
      <c r="O18">
        <v>464</v>
      </c>
      <c r="P18">
        <v>36</v>
      </c>
      <c r="Q18" s="2">
        <f t="shared" si="39"/>
        <v>7.1999999999999995E-2</v>
      </c>
      <c r="R18">
        <v>495</v>
      </c>
      <c r="S18">
        <v>7</v>
      </c>
      <c r="T18">
        <v>1937</v>
      </c>
      <c r="U18">
        <v>372</v>
      </c>
      <c r="V18">
        <v>1094</v>
      </c>
      <c r="W18">
        <v>1231</v>
      </c>
      <c r="X18">
        <v>1567</v>
      </c>
      <c r="Y18">
        <v>500</v>
      </c>
    </row>
    <row r="19" spans="1:25" x14ac:dyDescent="0.4">
      <c r="B19">
        <v>453</v>
      </c>
      <c r="C19">
        <v>47</v>
      </c>
      <c r="D19" s="2">
        <f t="shared" si="38"/>
        <v>9.4E-2</v>
      </c>
      <c r="E19">
        <v>357</v>
      </c>
      <c r="F19">
        <v>8</v>
      </c>
      <c r="G19">
        <v>1076</v>
      </c>
      <c r="H19">
        <v>365</v>
      </c>
      <c r="I19">
        <v>555</v>
      </c>
      <c r="J19">
        <v>658</v>
      </c>
      <c r="K19">
        <v>1033</v>
      </c>
      <c r="L19">
        <v>500</v>
      </c>
      <c r="O19">
        <v>468</v>
      </c>
      <c r="P19">
        <v>32</v>
      </c>
      <c r="Q19" s="2">
        <f t="shared" si="39"/>
        <v>6.4000000000000001E-2</v>
      </c>
      <c r="R19">
        <v>364</v>
      </c>
      <c r="S19">
        <v>8</v>
      </c>
      <c r="T19">
        <v>1190</v>
      </c>
      <c r="U19">
        <v>360</v>
      </c>
      <c r="V19">
        <v>686</v>
      </c>
      <c r="W19">
        <v>740</v>
      </c>
      <c r="X19">
        <v>1050</v>
      </c>
      <c r="Y19">
        <v>500</v>
      </c>
    </row>
    <row r="20" spans="1:25" x14ac:dyDescent="0.4">
      <c r="B20">
        <v>455</v>
      </c>
      <c r="C20">
        <v>45</v>
      </c>
      <c r="D20" s="2">
        <f t="shared" si="38"/>
        <v>0.09</v>
      </c>
      <c r="E20">
        <v>319</v>
      </c>
      <c r="F20">
        <v>7</v>
      </c>
      <c r="G20">
        <v>1086</v>
      </c>
      <c r="H20">
        <v>297</v>
      </c>
      <c r="I20">
        <v>607</v>
      </c>
      <c r="J20">
        <v>695</v>
      </c>
      <c r="K20">
        <v>860</v>
      </c>
      <c r="L20">
        <v>500</v>
      </c>
      <c r="O20">
        <v>477</v>
      </c>
      <c r="P20">
        <v>23</v>
      </c>
      <c r="Q20" s="2">
        <f t="shared" si="39"/>
        <v>4.5999999999999999E-2</v>
      </c>
      <c r="R20">
        <v>341</v>
      </c>
      <c r="S20">
        <v>9</v>
      </c>
      <c r="T20">
        <v>1274</v>
      </c>
      <c r="U20">
        <v>316</v>
      </c>
      <c r="V20">
        <v>639</v>
      </c>
      <c r="W20">
        <v>710</v>
      </c>
      <c r="X20">
        <v>934</v>
      </c>
      <c r="Y20">
        <v>500</v>
      </c>
    </row>
    <row r="21" spans="1:25" x14ac:dyDescent="0.4">
      <c r="A21" t="s">
        <v>8</v>
      </c>
      <c r="B21">
        <f t="shared" ref="B21:J21" si="40">SUM(B16:B20)/5</f>
        <v>450</v>
      </c>
      <c r="C21">
        <f t="shared" si="40"/>
        <v>48</v>
      </c>
      <c r="D21" s="2">
        <f t="shared" si="38"/>
        <v>9.6000000000000002E-2</v>
      </c>
      <c r="E21">
        <f t="shared" ref="E21" si="41">SUM(E16:E20)/5</f>
        <v>384.4</v>
      </c>
      <c r="F21">
        <f t="shared" ref="F21" si="42">SUM(F16:F20)/5</f>
        <v>7.8</v>
      </c>
      <c r="G21">
        <f t="shared" ref="G21" si="43">SUM(G16:G20)/5</f>
        <v>1180.2</v>
      </c>
      <c r="H21">
        <f t="shared" ref="H21" si="44">SUM(H16:H20)/5</f>
        <v>393.2</v>
      </c>
      <c r="I21">
        <f t="shared" ref="I21" si="45">SUM(I16:I20)/5</f>
        <v>674.2</v>
      </c>
      <c r="J21">
        <f t="shared" ref="J21" si="46">SUM(J16:J20)/5</f>
        <v>760</v>
      </c>
      <c r="K21">
        <f t="shared" ref="K21" si="47">SUM(K16:K20)/5</f>
        <v>967.2</v>
      </c>
      <c r="L21">
        <v>500</v>
      </c>
      <c r="N21" t="s">
        <v>8</v>
      </c>
      <c r="O21">
        <f t="shared" ref="O21" si="48">SUM(O16:O20)/5</f>
        <v>469.4</v>
      </c>
      <c r="P21">
        <f t="shared" ref="P21" si="49">SUM(P16:P20)/5</f>
        <v>31.8</v>
      </c>
      <c r="Q21" s="2">
        <f t="shared" si="39"/>
        <v>6.3600000000000004E-2</v>
      </c>
      <c r="R21">
        <f t="shared" ref="R21" si="50">SUM(R16:R20)/5</f>
        <v>425.6</v>
      </c>
      <c r="S21">
        <f t="shared" ref="S21" si="51">SUM(S16:S20)/5</f>
        <v>8.1999999999999993</v>
      </c>
      <c r="T21">
        <f t="shared" ref="T21" si="52">SUM(T16:T20)/5</f>
        <v>1443.2</v>
      </c>
      <c r="U21">
        <f t="shared" ref="U21" si="53">SUM(U16:U20)/5</f>
        <v>384.6</v>
      </c>
      <c r="V21">
        <f t="shared" ref="V21" si="54">SUM(V16:V20)/5</f>
        <v>813.8</v>
      </c>
      <c r="W21">
        <f t="shared" ref="W21" si="55">SUM(W16:W20)/5</f>
        <v>893</v>
      </c>
      <c r="X21">
        <f t="shared" ref="X21" si="56">SUM(X16:X20)/5</f>
        <v>1139.5999999999999</v>
      </c>
      <c r="Y21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Hong</dc:creator>
  <cp:lastModifiedBy>Joe Hong</cp:lastModifiedBy>
  <dcterms:created xsi:type="dcterms:W3CDTF">2026-04-19T07:33:54Z</dcterms:created>
  <dcterms:modified xsi:type="dcterms:W3CDTF">2026-05-07T16:02:16Z</dcterms:modified>
</cp:coreProperties>
</file>