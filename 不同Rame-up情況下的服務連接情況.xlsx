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_PLUS_PLUS\OneDrive - 國立宜蘭大學\桌面\"/>
    </mc:Choice>
  </mc:AlternateContent>
  <xr:revisionPtr revIDLastSave="0" documentId="13_ncr:1_{4F0F0DF8-5240-47DF-AA6E-DA227B47F09E}" xr6:coauthVersionLast="47" xr6:coauthVersionMax="47" xr10:uidLastSave="{00000000-0000-0000-0000-000000000000}"/>
  <bookViews>
    <workbookView xWindow="-110" yWindow="-110" windowWidth="19420" windowHeight="11500" xr2:uid="{82DE4E46-2E65-4282-9889-D5A6C89169F7}"/>
  </bookViews>
  <sheets>
    <sheet name="工作表1" sheetId="1" r:id="rId1"/>
    <sheet name="工作表2" sheetId="3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9" i="1" l="1"/>
  <c r="K79" i="1"/>
  <c r="L79" i="1"/>
  <c r="M79" i="1"/>
  <c r="N79" i="1"/>
  <c r="O79" i="1"/>
  <c r="P79" i="1"/>
  <c r="J71" i="1"/>
  <c r="K71" i="1"/>
  <c r="L71" i="1"/>
  <c r="M71" i="1"/>
  <c r="N71" i="1"/>
  <c r="O71" i="1"/>
  <c r="P71" i="1"/>
  <c r="J63" i="1"/>
  <c r="K63" i="1"/>
  <c r="L63" i="1"/>
  <c r="M63" i="1"/>
  <c r="N63" i="1"/>
  <c r="O63" i="1"/>
  <c r="P63" i="1"/>
  <c r="J55" i="1"/>
  <c r="K55" i="1"/>
  <c r="L55" i="1"/>
  <c r="M55" i="1"/>
  <c r="N55" i="1"/>
  <c r="O55" i="1"/>
  <c r="P55" i="1"/>
  <c r="J47" i="1"/>
  <c r="K47" i="1"/>
  <c r="L47" i="1"/>
  <c r="M47" i="1"/>
  <c r="N47" i="1"/>
  <c r="O47" i="1"/>
  <c r="P47" i="1"/>
  <c r="J39" i="1"/>
  <c r="K39" i="1"/>
  <c r="L39" i="1"/>
  <c r="M39" i="1"/>
  <c r="N39" i="1"/>
  <c r="O39" i="1"/>
  <c r="P39" i="1"/>
  <c r="J31" i="1"/>
  <c r="K31" i="1"/>
  <c r="L31" i="1"/>
  <c r="M31" i="1"/>
  <c r="N31" i="1"/>
  <c r="O31" i="1"/>
  <c r="P31" i="1"/>
  <c r="I79" i="1"/>
  <c r="I71" i="1"/>
  <c r="I63" i="1"/>
  <c r="I55" i="1"/>
  <c r="I47" i="1"/>
  <c r="I39" i="1"/>
  <c r="I31" i="1"/>
  <c r="I23" i="1"/>
  <c r="J23" i="1"/>
  <c r="K23" i="1"/>
  <c r="L23" i="1"/>
  <c r="M23" i="1"/>
  <c r="N23" i="1"/>
  <c r="O23" i="1"/>
  <c r="P23" i="1"/>
  <c r="J15" i="1"/>
  <c r="K15" i="1"/>
  <c r="L15" i="1"/>
  <c r="M15" i="1"/>
  <c r="N15" i="1"/>
  <c r="O15" i="1"/>
  <c r="P15" i="1"/>
  <c r="I15" i="1"/>
  <c r="J7" i="1"/>
  <c r="K7" i="1"/>
  <c r="L7" i="1"/>
  <c r="M7" i="1"/>
  <c r="N7" i="1"/>
  <c r="O7" i="1"/>
  <c r="P7" i="1"/>
  <c r="I7" i="1"/>
  <c r="E7" i="1"/>
  <c r="H7" i="1" s="1"/>
  <c r="H74" i="1"/>
  <c r="G74" i="1"/>
  <c r="F74" i="1"/>
  <c r="H75" i="1"/>
  <c r="H76" i="1"/>
  <c r="H77" i="1"/>
  <c r="H78" i="1"/>
  <c r="G75" i="1"/>
  <c r="G76" i="1"/>
  <c r="G77" i="1"/>
  <c r="G78" i="1"/>
  <c r="G79" i="1"/>
  <c r="F75" i="1"/>
  <c r="F76" i="1"/>
  <c r="F77" i="1"/>
  <c r="F78" i="1"/>
  <c r="C79" i="1"/>
  <c r="D79" i="1"/>
  <c r="E79" i="1"/>
  <c r="H79" i="1" s="1"/>
  <c r="B79" i="1"/>
  <c r="F79" i="1" s="1"/>
  <c r="B71" i="1"/>
  <c r="H21" i="1"/>
  <c r="H22" i="1"/>
  <c r="G21" i="1"/>
  <c r="G22" i="1"/>
  <c r="F21" i="1"/>
  <c r="F22" i="1"/>
  <c r="H66" i="1"/>
  <c r="H67" i="1"/>
  <c r="H68" i="1"/>
  <c r="H69" i="1"/>
  <c r="H70" i="1"/>
  <c r="H71" i="1"/>
  <c r="G66" i="1"/>
  <c r="G67" i="1"/>
  <c r="G68" i="1"/>
  <c r="G69" i="1"/>
  <c r="G70" i="1"/>
  <c r="G71" i="1"/>
  <c r="F66" i="1"/>
  <c r="F67" i="1"/>
  <c r="F68" i="1"/>
  <c r="F69" i="1"/>
  <c r="F70" i="1"/>
  <c r="F71" i="1"/>
  <c r="C71" i="1"/>
  <c r="D71" i="1"/>
  <c r="E71" i="1"/>
  <c r="B63" i="1"/>
  <c r="H12" i="1"/>
  <c r="H13" i="1"/>
  <c r="H14" i="1"/>
  <c r="H15" i="1"/>
  <c r="G12" i="1"/>
  <c r="G13" i="1"/>
  <c r="G14" i="1"/>
  <c r="F12" i="1"/>
  <c r="F13" i="1"/>
  <c r="F14" i="1"/>
  <c r="H50" i="1"/>
  <c r="H51" i="1"/>
  <c r="H52" i="1"/>
  <c r="H53" i="1"/>
  <c r="H54" i="1"/>
  <c r="H55" i="1"/>
  <c r="H58" i="1"/>
  <c r="H59" i="1"/>
  <c r="H60" i="1"/>
  <c r="H61" i="1"/>
  <c r="H62" i="1"/>
  <c r="H63" i="1"/>
  <c r="G50" i="1"/>
  <c r="G51" i="1"/>
  <c r="G52" i="1"/>
  <c r="G53" i="1"/>
  <c r="G54" i="1"/>
  <c r="G55" i="1"/>
  <c r="G58" i="1"/>
  <c r="G59" i="1"/>
  <c r="G60" i="1"/>
  <c r="G61" i="1"/>
  <c r="G62" i="1"/>
  <c r="G63" i="1"/>
  <c r="F50" i="1"/>
  <c r="F51" i="1"/>
  <c r="F52" i="1"/>
  <c r="F53" i="1"/>
  <c r="F54" i="1"/>
  <c r="F55" i="1"/>
  <c r="F58" i="1"/>
  <c r="F59" i="1"/>
  <c r="F60" i="1"/>
  <c r="F61" i="1"/>
  <c r="F62" i="1"/>
  <c r="F63" i="1"/>
  <c r="C63" i="1"/>
  <c r="D63" i="1"/>
  <c r="E63" i="1"/>
  <c r="C55" i="1"/>
  <c r="D55" i="1"/>
  <c r="E55" i="1"/>
  <c r="B55" i="1"/>
  <c r="B47" i="1"/>
  <c r="H43" i="1"/>
  <c r="H44" i="1"/>
  <c r="H45" i="1"/>
  <c r="H46" i="1"/>
  <c r="H47" i="1"/>
  <c r="H42" i="1"/>
  <c r="H3" i="1"/>
  <c r="H4" i="1"/>
  <c r="H5" i="1"/>
  <c r="H6" i="1"/>
  <c r="H10" i="1"/>
  <c r="H11" i="1"/>
  <c r="H18" i="1"/>
  <c r="H19" i="1"/>
  <c r="H20" i="1"/>
  <c r="H26" i="1"/>
  <c r="H27" i="1"/>
  <c r="H28" i="1"/>
  <c r="H29" i="1"/>
  <c r="H30" i="1"/>
  <c r="H31" i="1"/>
  <c r="H34" i="1"/>
  <c r="H35" i="1"/>
  <c r="H36" i="1"/>
  <c r="H37" i="1"/>
  <c r="H38" i="1"/>
  <c r="H39" i="1"/>
  <c r="H2" i="1"/>
  <c r="G43" i="1"/>
  <c r="G44" i="1"/>
  <c r="G45" i="1"/>
  <c r="G46" i="1"/>
  <c r="G47" i="1"/>
  <c r="G42" i="1"/>
  <c r="G10" i="1"/>
  <c r="G11" i="1"/>
  <c r="G18" i="1"/>
  <c r="G19" i="1"/>
  <c r="G20" i="1"/>
  <c r="G26" i="1"/>
  <c r="G27" i="1"/>
  <c r="G28" i="1"/>
  <c r="G29" i="1"/>
  <c r="G30" i="1"/>
  <c r="G31" i="1"/>
  <c r="G34" i="1"/>
  <c r="G35" i="1"/>
  <c r="G36" i="1"/>
  <c r="G37" i="1"/>
  <c r="G38" i="1"/>
  <c r="G39" i="1"/>
  <c r="G3" i="1"/>
  <c r="G4" i="1"/>
  <c r="G5" i="1"/>
  <c r="G6" i="1"/>
  <c r="G7" i="1"/>
  <c r="G2" i="1"/>
  <c r="F10" i="1"/>
  <c r="F11" i="1"/>
  <c r="F18" i="1"/>
  <c r="F19" i="1"/>
  <c r="F20" i="1"/>
  <c r="F26" i="1"/>
  <c r="F27" i="1"/>
  <c r="F28" i="1"/>
  <c r="F29" i="1"/>
  <c r="F30" i="1"/>
  <c r="F31" i="1"/>
  <c r="F34" i="1"/>
  <c r="F35" i="1"/>
  <c r="F36" i="1"/>
  <c r="F37" i="1"/>
  <c r="F38" i="1"/>
  <c r="F39" i="1"/>
  <c r="F42" i="1"/>
  <c r="F43" i="1"/>
  <c r="F44" i="1"/>
  <c r="F45" i="1"/>
  <c r="F46" i="1"/>
  <c r="F47" i="1"/>
  <c r="F3" i="1"/>
  <c r="F4" i="1"/>
  <c r="F5" i="1"/>
  <c r="F6" i="1"/>
  <c r="F7" i="1"/>
  <c r="F2" i="1"/>
  <c r="C47" i="1"/>
  <c r="D47" i="1"/>
  <c r="E47" i="1"/>
  <c r="E39" i="1"/>
  <c r="C39" i="1"/>
  <c r="D39" i="1"/>
  <c r="B39" i="1"/>
  <c r="C31" i="1"/>
  <c r="D31" i="1"/>
  <c r="E31" i="1"/>
  <c r="B31" i="1"/>
  <c r="C23" i="1"/>
  <c r="D23" i="1"/>
  <c r="G23" i="1" s="1"/>
  <c r="E23" i="1"/>
  <c r="H23" i="1" s="1"/>
  <c r="B23" i="1"/>
  <c r="F23" i="1" s="1"/>
  <c r="C15" i="1"/>
  <c r="D15" i="1"/>
  <c r="G15" i="1" s="1"/>
  <c r="E15" i="1"/>
  <c r="B15" i="1"/>
  <c r="F15" i="1" s="1"/>
  <c r="B7" i="1"/>
  <c r="C7" i="1"/>
  <c r="D7" i="1"/>
</calcChain>
</file>

<file path=xl/sharedStrings.xml><?xml version="1.0" encoding="utf-8"?>
<sst xmlns="http://schemas.openxmlformats.org/spreadsheetml/2006/main" count="49" uniqueCount="37">
  <si>
    <t>SUCCESS</t>
    <phoneticPr fontId="1" type="noConversion"/>
  </si>
  <si>
    <t>CONFLICT_TRY_AGAIN</t>
    <phoneticPr fontId="1" type="noConversion"/>
  </si>
  <si>
    <t>Redis_SOLD_OUT</t>
  </si>
  <si>
    <t>NOT_FOUND</t>
    <phoneticPr fontId="1" type="noConversion"/>
  </si>
  <si>
    <t>成功發出優惠券比例(SUCCESS/Issue)</t>
    <phoneticPr fontId="1" type="noConversion"/>
  </si>
  <si>
    <t>Redis擋超發流量(Redis_SOLD_OUT/(requset-issue))</t>
    <phoneticPr fontId="1" type="noConversion"/>
  </si>
  <si>
    <t>average_latency</t>
    <phoneticPr fontId="1" type="noConversion"/>
  </si>
  <si>
    <t>median_latency</t>
    <phoneticPr fontId="1" type="noConversion"/>
  </si>
  <si>
    <t>90%_latency</t>
    <phoneticPr fontId="1" type="noConversion"/>
  </si>
  <si>
    <t>95%_latency</t>
    <phoneticPr fontId="1" type="noConversion"/>
  </si>
  <si>
    <t>99%_latency</t>
    <phoneticPr fontId="1" type="noConversion"/>
  </si>
  <si>
    <t>min_latency</t>
    <phoneticPr fontId="1" type="noConversion"/>
  </si>
  <si>
    <t>max_latency</t>
    <phoneticPr fontId="1" type="noConversion"/>
  </si>
  <si>
    <t>error rate</t>
    <phoneticPr fontId="1" type="noConversion"/>
  </si>
  <si>
    <t>issue500/request2000/0.5秒</t>
    <phoneticPr fontId="1" type="noConversion"/>
  </si>
  <si>
    <t>平均</t>
    <phoneticPr fontId="1" type="noConversion"/>
  </si>
  <si>
    <t>issue500/request2000/1秒</t>
    <phoneticPr fontId="1" type="noConversion"/>
  </si>
  <si>
    <t>issue500/request2000/2秒</t>
    <phoneticPr fontId="1" type="noConversion"/>
  </si>
  <si>
    <t>issue500/request2000/5秒</t>
    <phoneticPr fontId="1" type="noConversion"/>
  </si>
  <si>
    <t>issue500/request2000/10秒</t>
    <phoneticPr fontId="1" type="noConversion"/>
  </si>
  <si>
    <t>issue500/request4000/0.5秒</t>
    <phoneticPr fontId="1" type="noConversion"/>
  </si>
  <si>
    <t>issue500/request4000/1秒</t>
    <phoneticPr fontId="1" type="noConversion"/>
  </si>
  <si>
    <t>issue500/request4000/2秒</t>
    <phoneticPr fontId="1" type="noConversion"/>
  </si>
  <si>
    <t>issue500/request4000/5秒</t>
    <phoneticPr fontId="1" type="noConversion"/>
  </si>
  <si>
    <t>NOT_FOUND比例(NOT_FOUND/request)</t>
    <phoneticPr fontId="1" type="noConversion"/>
  </si>
  <si>
    <t>issue500/request4000/10秒</t>
    <phoneticPr fontId="1" type="noConversion"/>
  </si>
  <si>
    <t>request-2000</t>
    <phoneticPr fontId="1" type="noConversion"/>
  </si>
  <si>
    <t>request-4000</t>
    <phoneticPr fontId="1" type="noConversion"/>
  </si>
  <si>
    <t>0.5秒</t>
    <phoneticPr fontId="1" type="noConversion"/>
  </si>
  <si>
    <r>
      <t>1</t>
    </r>
    <r>
      <rPr>
        <sz val="12"/>
        <color theme="1"/>
        <rFont val="Microsoft JhengHei"/>
        <family val="2"/>
      </rPr>
      <t>秒</t>
    </r>
    <phoneticPr fontId="1" type="noConversion"/>
  </si>
  <si>
    <r>
      <t>2</t>
    </r>
    <r>
      <rPr>
        <sz val="12"/>
        <color theme="1"/>
        <rFont val="Microsoft JhengHei"/>
        <family val="2"/>
      </rPr>
      <t>秒</t>
    </r>
    <phoneticPr fontId="1" type="noConversion"/>
  </si>
  <si>
    <r>
      <t>5</t>
    </r>
    <r>
      <rPr>
        <sz val="12"/>
        <color theme="1"/>
        <rFont val="Microsoft JhengHei"/>
        <family val="2"/>
      </rPr>
      <t>秒</t>
    </r>
    <phoneticPr fontId="1" type="noConversion"/>
  </si>
  <si>
    <r>
      <t>10</t>
    </r>
    <r>
      <rPr>
        <sz val="12"/>
        <color theme="1"/>
        <rFont val="Microsoft JhengHei"/>
        <family val="2"/>
      </rPr>
      <t>秒</t>
    </r>
    <phoneticPr fontId="1" type="noConversion"/>
  </si>
  <si>
    <t>request/秒</t>
    <phoneticPr fontId="1" type="noConversion"/>
  </si>
  <si>
    <t>高</t>
    <phoneticPr fontId="1" type="noConversion"/>
  </si>
  <si>
    <t>低</t>
    <phoneticPr fontId="1" type="noConversion"/>
  </si>
  <si>
    <t>推測Error-rate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</si>
</sst>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Aptos"/>
      <family val="2"/>
    </font>
    <font>
      <sz val="12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F2FD-339E-4C0E-97D3-D06324CD0E47}">
  <dimension ref="A1:P96"/>
  <sheetViews>
    <sheetView tabSelected="1" topLeftCell="B28" zoomScale="70" zoomScaleNormal="70" workbookViewId="0">
      <selection activeCell="C92" sqref="C92"/>
    </sheetView>
  </sheetViews>
  <sheetFormatPr defaultRowHeight="17"/>
  <cols>
    <col min="1" max="1" width="26" bestFit="1" customWidth="1"/>
    <col min="2" max="2" width="10.6328125" bestFit="1" customWidth="1"/>
    <col min="3" max="3" width="26.1796875" bestFit="1" customWidth="1"/>
    <col min="4" max="4" width="18.90625" bestFit="1" customWidth="1"/>
    <col min="5" max="5" width="14.6328125" bestFit="1" customWidth="1"/>
    <col min="6" max="6" width="39.7265625" bestFit="1" customWidth="1"/>
    <col min="7" max="7" width="51.6328125" bestFit="1" customWidth="1"/>
    <col min="8" max="8" width="41.26953125" bestFit="1" customWidth="1"/>
    <col min="9" max="9" width="14.81640625" bestFit="1" customWidth="1"/>
    <col min="10" max="10" width="14.6328125" bestFit="1" customWidth="1"/>
    <col min="11" max="13" width="12.1796875" bestFit="1" customWidth="1"/>
    <col min="14" max="14" width="11.6328125" bestFit="1" customWidth="1"/>
    <col min="15" max="15" width="12" bestFit="1" customWidth="1"/>
    <col min="16" max="16" width="9" bestFit="1" customWidth="1"/>
  </cols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24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>
      <c r="A2" t="s">
        <v>14</v>
      </c>
      <c r="B2">
        <v>500</v>
      </c>
      <c r="C2">
        <v>32</v>
      </c>
      <c r="D2">
        <v>845</v>
      </c>
      <c r="E2">
        <v>623</v>
      </c>
      <c r="F2" s="1">
        <f>B2/500</f>
        <v>1</v>
      </c>
      <c r="G2" s="1">
        <f>D2/(2000-500)</f>
        <v>0.56333333333333335</v>
      </c>
      <c r="H2" s="1">
        <f>E2/2000</f>
        <v>0.3115</v>
      </c>
      <c r="I2">
        <v>1648</v>
      </c>
      <c r="J2">
        <v>2407</v>
      </c>
      <c r="K2">
        <v>3078</v>
      </c>
      <c r="L2">
        <v>3145</v>
      </c>
      <c r="M2">
        <v>3248</v>
      </c>
      <c r="N2">
        <v>0</v>
      </c>
      <c r="O2">
        <v>3392</v>
      </c>
      <c r="P2" s="2">
        <v>0.3115</v>
      </c>
    </row>
    <row r="3" spans="1:16">
      <c r="B3">
        <v>494</v>
      </c>
      <c r="C3">
        <v>28</v>
      </c>
      <c r="D3">
        <v>811</v>
      </c>
      <c r="E3">
        <v>667</v>
      </c>
      <c r="F3" s="1">
        <f t="shared" ref="F3:F66" si="0">B3/500</f>
        <v>0.98799999999999999</v>
      </c>
      <c r="G3" s="1">
        <f t="shared" ref="G3:G39" si="1">D3/(2000-500)</f>
        <v>0.54066666666666663</v>
      </c>
      <c r="H3" s="1">
        <f t="shared" ref="H3:H39" si="2">E3/2000</f>
        <v>0.33350000000000002</v>
      </c>
      <c r="I3">
        <v>771</v>
      </c>
      <c r="J3">
        <v>1105</v>
      </c>
      <c r="K3">
        <v>1345</v>
      </c>
      <c r="L3">
        <v>1718</v>
      </c>
      <c r="M3">
        <v>1974</v>
      </c>
      <c r="N3">
        <v>1</v>
      </c>
      <c r="O3">
        <v>2220</v>
      </c>
      <c r="P3" s="2">
        <v>0.33350000000000002</v>
      </c>
    </row>
    <row r="4" spans="1:16">
      <c r="B4">
        <v>500</v>
      </c>
      <c r="C4">
        <v>39</v>
      </c>
      <c r="D4">
        <v>1418</v>
      </c>
      <c r="E4">
        <v>43</v>
      </c>
      <c r="F4" s="1">
        <f t="shared" si="0"/>
        <v>1</v>
      </c>
      <c r="G4" s="1">
        <f t="shared" si="1"/>
        <v>0.94533333333333336</v>
      </c>
      <c r="H4" s="1">
        <f t="shared" si="2"/>
        <v>2.1499999999999998E-2</v>
      </c>
      <c r="I4">
        <v>2445</v>
      </c>
      <c r="J4">
        <v>2860</v>
      </c>
      <c r="K4">
        <v>3575</v>
      </c>
      <c r="L4">
        <v>3710</v>
      </c>
      <c r="M4">
        <v>3766</v>
      </c>
      <c r="N4">
        <v>1</v>
      </c>
      <c r="O4">
        <v>3794</v>
      </c>
      <c r="P4" s="2">
        <v>2.1499999999999998E-2</v>
      </c>
    </row>
    <row r="5" spans="1:16">
      <c r="B5">
        <v>500</v>
      </c>
      <c r="C5">
        <v>35</v>
      </c>
      <c r="D5">
        <v>1465</v>
      </c>
      <c r="E5">
        <v>0</v>
      </c>
      <c r="F5" s="1">
        <f t="shared" si="0"/>
        <v>1</v>
      </c>
      <c r="G5" s="1">
        <f t="shared" si="1"/>
        <v>0.97666666666666668</v>
      </c>
      <c r="H5" s="1">
        <f t="shared" si="2"/>
        <v>0</v>
      </c>
      <c r="I5">
        <v>753</v>
      </c>
      <c r="J5">
        <v>921</v>
      </c>
      <c r="K5">
        <v>1033</v>
      </c>
      <c r="L5">
        <v>1433</v>
      </c>
      <c r="M5">
        <v>1849</v>
      </c>
      <c r="N5">
        <v>5</v>
      </c>
      <c r="O5">
        <v>2175</v>
      </c>
      <c r="P5" s="3">
        <v>0</v>
      </c>
    </row>
    <row r="6" spans="1:16">
      <c r="B6">
        <v>500</v>
      </c>
      <c r="C6">
        <v>36</v>
      </c>
      <c r="D6">
        <v>1436</v>
      </c>
      <c r="E6">
        <v>28</v>
      </c>
      <c r="F6" s="1">
        <f t="shared" si="0"/>
        <v>1</v>
      </c>
      <c r="G6" s="1">
        <f t="shared" si="1"/>
        <v>0.95733333333333337</v>
      </c>
      <c r="H6" s="1">
        <f t="shared" si="2"/>
        <v>1.4E-2</v>
      </c>
      <c r="I6">
        <v>1477</v>
      </c>
      <c r="J6">
        <v>1635</v>
      </c>
      <c r="K6">
        <v>1930</v>
      </c>
      <c r="L6">
        <v>1942</v>
      </c>
      <c r="M6">
        <v>2197</v>
      </c>
      <c r="N6">
        <v>5</v>
      </c>
      <c r="O6">
        <v>2376</v>
      </c>
      <c r="P6" s="2">
        <v>1.4E-2</v>
      </c>
    </row>
    <row r="7" spans="1:16">
      <c r="A7" t="s">
        <v>15</v>
      </c>
      <c r="B7">
        <f>SUM(B2:B6)/5</f>
        <v>498.8</v>
      </c>
      <c r="C7">
        <f t="shared" ref="C7:D7" si="3">SUM(C2:C6)/5</f>
        <v>34</v>
      </c>
      <c r="D7">
        <f t="shared" si="3"/>
        <v>1195</v>
      </c>
      <c r="E7">
        <f>SUM(E2:E6)/5</f>
        <v>272.2</v>
      </c>
      <c r="F7" s="1">
        <f t="shared" si="0"/>
        <v>0.99760000000000004</v>
      </c>
      <c r="G7" s="1">
        <f t="shared" si="1"/>
        <v>0.79666666666666663</v>
      </c>
      <c r="H7" s="1">
        <f t="shared" si="2"/>
        <v>0.1361</v>
      </c>
      <c r="I7">
        <f>SUM(I2:I6)/5</f>
        <v>1418.8</v>
      </c>
      <c r="J7">
        <f t="shared" ref="J7:P7" si="4">SUM(J2:J6)/5</f>
        <v>1785.6</v>
      </c>
      <c r="K7">
        <f t="shared" si="4"/>
        <v>2192.1999999999998</v>
      </c>
      <c r="L7">
        <f t="shared" si="4"/>
        <v>2389.6</v>
      </c>
      <c r="M7">
        <f t="shared" si="4"/>
        <v>2606.8000000000002</v>
      </c>
      <c r="N7">
        <f t="shared" si="4"/>
        <v>2.4</v>
      </c>
      <c r="O7">
        <f t="shared" si="4"/>
        <v>2791.4</v>
      </c>
      <c r="P7" s="4">
        <f t="shared" si="4"/>
        <v>0.1361</v>
      </c>
    </row>
    <row r="8" spans="1:16">
      <c r="F8" s="1"/>
      <c r="G8" s="1"/>
      <c r="H8" s="1"/>
    </row>
    <row r="9" spans="1:16">
      <c r="F9" s="1"/>
      <c r="G9" s="1"/>
      <c r="H9" s="1"/>
    </row>
    <row r="10" spans="1:16">
      <c r="A10" t="s">
        <v>16</v>
      </c>
      <c r="B10">
        <v>500</v>
      </c>
      <c r="C10">
        <v>39</v>
      </c>
      <c r="D10">
        <v>1192</v>
      </c>
      <c r="E10">
        <v>269</v>
      </c>
      <c r="F10" s="1">
        <f t="shared" si="0"/>
        <v>1</v>
      </c>
      <c r="G10" s="1">
        <f t="shared" si="1"/>
        <v>0.79466666666666663</v>
      </c>
      <c r="H10" s="1">
        <f t="shared" si="2"/>
        <v>0.13450000000000001</v>
      </c>
      <c r="I10">
        <v>738</v>
      </c>
      <c r="J10">
        <v>823</v>
      </c>
      <c r="K10">
        <v>975</v>
      </c>
      <c r="L10">
        <v>1590</v>
      </c>
      <c r="M10">
        <v>1905</v>
      </c>
      <c r="N10">
        <v>0</v>
      </c>
      <c r="O10">
        <v>2382</v>
      </c>
      <c r="P10" s="2">
        <v>0.13450000000000001</v>
      </c>
    </row>
    <row r="11" spans="1:16">
      <c r="B11">
        <v>500</v>
      </c>
      <c r="C11">
        <v>39</v>
      </c>
      <c r="D11">
        <v>1461</v>
      </c>
      <c r="E11">
        <v>0</v>
      </c>
      <c r="F11" s="1">
        <f t="shared" si="0"/>
        <v>1</v>
      </c>
      <c r="G11" s="1">
        <f t="shared" si="1"/>
        <v>0.97399999999999998</v>
      </c>
      <c r="H11" s="1">
        <f t="shared" si="2"/>
        <v>0</v>
      </c>
      <c r="I11">
        <v>489</v>
      </c>
      <c r="J11">
        <v>415</v>
      </c>
      <c r="K11">
        <v>1028</v>
      </c>
      <c r="L11">
        <v>1343</v>
      </c>
      <c r="M11">
        <v>1676</v>
      </c>
      <c r="N11">
        <v>11</v>
      </c>
      <c r="O11">
        <v>1910</v>
      </c>
      <c r="P11" s="2">
        <v>0</v>
      </c>
    </row>
    <row r="12" spans="1:16">
      <c r="B12">
        <v>500</v>
      </c>
      <c r="C12">
        <v>40</v>
      </c>
      <c r="D12">
        <v>1460</v>
      </c>
      <c r="E12">
        <v>0</v>
      </c>
      <c r="F12" s="1">
        <f t="shared" si="0"/>
        <v>1</v>
      </c>
      <c r="G12" s="1">
        <f t="shared" si="1"/>
        <v>0.97333333333333338</v>
      </c>
      <c r="H12" s="1">
        <f t="shared" si="2"/>
        <v>0</v>
      </c>
      <c r="I12">
        <v>326</v>
      </c>
      <c r="J12">
        <v>239</v>
      </c>
      <c r="K12">
        <v>875</v>
      </c>
      <c r="L12">
        <v>1155</v>
      </c>
      <c r="M12">
        <v>1438</v>
      </c>
      <c r="N12">
        <v>3</v>
      </c>
      <c r="O12">
        <v>1765</v>
      </c>
      <c r="P12" s="2">
        <v>0</v>
      </c>
    </row>
    <row r="13" spans="1:16">
      <c r="B13">
        <v>500</v>
      </c>
      <c r="C13">
        <v>34</v>
      </c>
      <c r="D13">
        <v>1466</v>
      </c>
      <c r="E13">
        <v>0</v>
      </c>
      <c r="F13" s="1">
        <f t="shared" si="0"/>
        <v>1</v>
      </c>
      <c r="G13" s="1">
        <f t="shared" si="1"/>
        <v>0.97733333333333339</v>
      </c>
      <c r="H13" s="1">
        <f t="shared" si="2"/>
        <v>0</v>
      </c>
      <c r="I13">
        <v>315</v>
      </c>
      <c r="J13">
        <v>168</v>
      </c>
      <c r="K13">
        <v>786</v>
      </c>
      <c r="L13">
        <v>1199</v>
      </c>
      <c r="M13">
        <v>1511</v>
      </c>
      <c r="N13">
        <v>3</v>
      </c>
      <c r="O13">
        <v>1786</v>
      </c>
      <c r="P13" s="2">
        <v>0</v>
      </c>
    </row>
    <row r="14" spans="1:16">
      <c r="B14">
        <v>500</v>
      </c>
      <c r="C14">
        <v>31</v>
      </c>
      <c r="D14">
        <v>1469</v>
      </c>
      <c r="E14">
        <v>0</v>
      </c>
      <c r="F14" s="1">
        <f t="shared" si="0"/>
        <v>1</v>
      </c>
      <c r="G14" s="1">
        <f t="shared" si="1"/>
        <v>0.97933333333333328</v>
      </c>
      <c r="H14" s="1">
        <f t="shared" si="2"/>
        <v>0</v>
      </c>
      <c r="I14">
        <v>341</v>
      </c>
      <c r="J14">
        <v>238</v>
      </c>
      <c r="K14">
        <v>787</v>
      </c>
      <c r="L14">
        <v>994</v>
      </c>
      <c r="M14">
        <v>1373</v>
      </c>
      <c r="N14">
        <v>5</v>
      </c>
      <c r="O14">
        <v>2066</v>
      </c>
      <c r="P14" s="2">
        <v>0</v>
      </c>
    </row>
    <row r="15" spans="1:16">
      <c r="A15" t="s">
        <v>15</v>
      </c>
      <c r="B15">
        <f>SUM(B10:B14)/5</f>
        <v>500</v>
      </c>
      <c r="C15">
        <f t="shared" ref="C15:E15" si="5">SUM(C10:C14)/5</f>
        <v>36.6</v>
      </c>
      <c r="D15">
        <f t="shared" si="5"/>
        <v>1409.6</v>
      </c>
      <c r="E15">
        <f t="shared" si="5"/>
        <v>53.8</v>
      </c>
      <c r="F15" s="1">
        <f t="shared" si="0"/>
        <v>1</v>
      </c>
      <c r="G15" s="1">
        <f t="shared" si="1"/>
        <v>0.93973333333333331</v>
      </c>
      <c r="H15" s="1">
        <f t="shared" si="2"/>
        <v>2.69E-2</v>
      </c>
      <c r="I15">
        <f>SUM(I10:I14)/5</f>
        <v>441.8</v>
      </c>
      <c r="J15">
        <f t="shared" ref="J15:P15" si="6">SUM(J10:J14)/5</f>
        <v>376.6</v>
      </c>
      <c r="K15">
        <f t="shared" si="6"/>
        <v>890.2</v>
      </c>
      <c r="L15">
        <f t="shared" si="6"/>
        <v>1256.2</v>
      </c>
      <c r="M15">
        <f t="shared" si="6"/>
        <v>1580.6</v>
      </c>
      <c r="N15">
        <f t="shared" si="6"/>
        <v>4.4000000000000004</v>
      </c>
      <c r="O15">
        <f t="shared" si="6"/>
        <v>1981.8</v>
      </c>
      <c r="P15" s="4">
        <f t="shared" si="6"/>
        <v>2.69E-2</v>
      </c>
    </row>
    <row r="16" spans="1:16">
      <c r="F16" s="1"/>
      <c r="G16" s="1"/>
      <c r="H16" s="1"/>
    </row>
    <row r="17" spans="1:16">
      <c r="F17" s="1"/>
      <c r="G17" s="1"/>
      <c r="H17" s="1"/>
    </row>
    <row r="18" spans="1:16">
      <c r="A18" t="s">
        <v>17</v>
      </c>
      <c r="B18">
        <v>500</v>
      </c>
      <c r="C18">
        <v>39</v>
      </c>
      <c r="D18">
        <v>1461</v>
      </c>
      <c r="E18">
        <v>0</v>
      </c>
      <c r="F18" s="1">
        <f t="shared" si="0"/>
        <v>1</v>
      </c>
      <c r="G18" s="1">
        <f t="shared" si="1"/>
        <v>0.97399999999999998</v>
      </c>
      <c r="H18" s="1">
        <f t="shared" si="2"/>
        <v>0</v>
      </c>
      <c r="I18">
        <v>500</v>
      </c>
      <c r="J18">
        <v>442</v>
      </c>
      <c r="K18">
        <v>1267</v>
      </c>
      <c r="L18">
        <v>1540</v>
      </c>
      <c r="M18">
        <v>1826</v>
      </c>
      <c r="N18">
        <v>2</v>
      </c>
      <c r="O18">
        <v>2747</v>
      </c>
      <c r="P18" s="2">
        <v>0</v>
      </c>
    </row>
    <row r="19" spans="1:16">
      <c r="B19">
        <v>500</v>
      </c>
      <c r="C19">
        <v>35</v>
      </c>
      <c r="D19">
        <v>1403</v>
      </c>
      <c r="E19">
        <v>62</v>
      </c>
      <c r="F19" s="1">
        <f t="shared" si="0"/>
        <v>1</v>
      </c>
      <c r="G19" s="1">
        <f t="shared" si="1"/>
        <v>0.93533333333333335</v>
      </c>
      <c r="H19" s="1">
        <f t="shared" si="2"/>
        <v>3.1E-2</v>
      </c>
      <c r="I19">
        <v>270</v>
      </c>
      <c r="J19">
        <v>143</v>
      </c>
      <c r="K19">
        <v>839</v>
      </c>
      <c r="L19">
        <v>1069</v>
      </c>
      <c r="M19">
        <v>1470</v>
      </c>
      <c r="N19">
        <v>0</v>
      </c>
      <c r="O19">
        <v>2148</v>
      </c>
      <c r="P19" s="2">
        <v>3.1E-2</v>
      </c>
    </row>
    <row r="20" spans="1:16">
      <c r="B20">
        <v>500</v>
      </c>
      <c r="C20">
        <v>32</v>
      </c>
      <c r="D20">
        <v>1468</v>
      </c>
      <c r="E20">
        <v>0</v>
      </c>
      <c r="F20" s="1">
        <f t="shared" si="0"/>
        <v>1</v>
      </c>
      <c r="G20" s="1">
        <f t="shared" si="1"/>
        <v>0.97866666666666668</v>
      </c>
      <c r="H20" s="1">
        <f t="shared" si="2"/>
        <v>0</v>
      </c>
      <c r="I20">
        <v>303</v>
      </c>
      <c r="J20">
        <v>210</v>
      </c>
      <c r="K20">
        <v>940</v>
      </c>
      <c r="L20">
        <v>1158</v>
      </c>
      <c r="M20">
        <v>1421</v>
      </c>
      <c r="N20">
        <v>2</v>
      </c>
      <c r="O20">
        <v>1849</v>
      </c>
      <c r="P20" s="2">
        <v>0</v>
      </c>
    </row>
    <row r="21" spans="1:16">
      <c r="B21">
        <v>498</v>
      </c>
      <c r="C21">
        <v>28</v>
      </c>
      <c r="D21">
        <v>1474</v>
      </c>
      <c r="E21">
        <v>0</v>
      </c>
      <c r="F21" s="1">
        <f t="shared" si="0"/>
        <v>0.996</v>
      </c>
      <c r="G21" s="1">
        <f t="shared" si="1"/>
        <v>0.98266666666666669</v>
      </c>
      <c r="H21" s="1">
        <f t="shared" si="2"/>
        <v>0</v>
      </c>
      <c r="I21">
        <v>368</v>
      </c>
      <c r="J21">
        <v>261</v>
      </c>
      <c r="K21">
        <v>889</v>
      </c>
      <c r="L21">
        <v>1281</v>
      </c>
      <c r="M21">
        <v>1496</v>
      </c>
      <c r="N21">
        <v>2</v>
      </c>
      <c r="O21">
        <v>1762</v>
      </c>
      <c r="P21" s="2">
        <v>0</v>
      </c>
    </row>
    <row r="22" spans="1:16">
      <c r="B22">
        <v>500</v>
      </c>
      <c r="C22">
        <v>31</v>
      </c>
      <c r="D22">
        <v>1469</v>
      </c>
      <c r="E22">
        <v>0</v>
      </c>
      <c r="F22" s="1">
        <f t="shared" si="0"/>
        <v>1</v>
      </c>
      <c r="G22" s="1">
        <f t="shared" si="1"/>
        <v>0.97933333333333328</v>
      </c>
      <c r="H22" s="1">
        <f t="shared" si="2"/>
        <v>0</v>
      </c>
      <c r="I22">
        <v>371</v>
      </c>
      <c r="J22">
        <v>281</v>
      </c>
      <c r="K22">
        <v>896</v>
      </c>
      <c r="L22">
        <v>1269</v>
      </c>
      <c r="M22">
        <v>1527</v>
      </c>
      <c r="N22">
        <v>3</v>
      </c>
      <c r="O22">
        <v>1701</v>
      </c>
      <c r="P22" s="2">
        <v>0</v>
      </c>
    </row>
    <row r="23" spans="1:16">
      <c r="A23" t="s">
        <v>15</v>
      </c>
      <c r="B23">
        <f>SUM(B18:B22)/5</f>
        <v>499.6</v>
      </c>
      <c r="C23">
        <f t="shared" ref="C23:E23" si="7">SUM(C18:C22)/5</f>
        <v>33</v>
      </c>
      <c r="D23">
        <f t="shared" si="7"/>
        <v>1455</v>
      </c>
      <c r="E23">
        <f t="shared" si="7"/>
        <v>12.4</v>
      </c>
      <c r="F23" s="1">
        <f t="shared" si="0"/>
        <v>0.99920000000000009</v>
      </c>
      <c r="G23" s="1">
        <f t="shared" si="1"/>
        <v>0.97</v>
      </c>
      <c r="H23" s="1">
        <f t="shared" si="2"/>
        <v>6.1999999999999998E-3</v>
      </c>
      <c r="I23">
        <f>SUM(I18:I22)/5</f>
        <v>362.4</v>
      </c>
      <c r="J23">
        <f t="shared" ref="J23:P23" si="8">SUM(J18:J22)/5</f>
        <v>267.39999999999998</v>
      </c>
      <c r="K23">
        <f t="shared" si="8"/>
        <v>966.2</v>
      </c>
      <c r="L23">
        <f t="shared" si="8"/>
        <v>1263.4000000000001</v>
      </c>
      <c r="M23">
        <f t="shared" si="8"/>
        <v>1548</v>
      </c>
      <c r="N23">
        <f t="shared" si="8"/>
        <v>1.8</v>
      </c>
      <c r="O23">
        <f t="shared" si="8"/>
        <v>2041.4</v>
      </c>
      <c r="P23" s="4">
        <f t="shared" si="8"/>
        <v>6.1999999999999998E-3</v>
      </c>
    </row>
    <row r="24" spans="1:16">
      <c r="F24" s="1"/>
      <c r="G24" s="1"/>
      <c r="H24" s="1"/>
    </row>
    <row r="25" spans="1:16">
      <c r="F25" s="1"/>
      <c r="G25" s="1"/>
      <c r="H25" s="1"/>
    </row>
    <row r="26" spans="1:16">
      <c r="A26" t="s">
        <v>18</v>
      </c>
      <c r="B26">
        <v>500</v>
      </c>
      <c r="C26">
        <v>35</v>
      </c>
      <c r="D26">
        <v>1465</v>
      </c>
      <c r="E26">
        <v>0</v>
      </c>
      <c r="F26" s="1">
        <f t="shared" si="0"/>
        <v>1</v>
      </c>
      <c r="G26" s="1">
        <f t="shared" si="1"/>
        <v>0.97666666666666668</v>
      </c>
      <c r="H26" s="1">
        <f t="shared" si="2"/>
        <v>0</v>
      </c>
      <c r="I26">
        <v>140</v>
      </c>
      <c r="J26">
        <v>11</v>
      </c>
      <c r="K26">
        <v>503</v>
      </c>
      <c r="L26">
        <v>811</v>
      </c>
      <c r="M26">
        <v>1223</v>
      </c>
      <c r="N26">
        <v>3</v>
      </c>
      <c r="O26">
        <v>1410</v>
      </c>
      <c r="P26" s="2">
        <v>0</v>
      </c>
    </row>
    <row r="27" spans="1:16">
      <c r="B27">
        <v>500</v>
      </c>
      <c r="C27">
        <v>39</v>
      </c>
      <c r="D27">
        <v>1461</v>
      </c>
      <c r="E27">
        <v>0</v>
      </c>
      <c r="F27" s="1">
        <f t="shared" si="0"/>
        <v>1</v>
      </c>
      <c r="G27" s="1">
        <f t="shared" si="1"/>
        <v>0.97399999999999998</v>
      </c>
      <c r="H27" s="1">
        <f t="shared" si="2"/>
        <v>0</v>
      </c>
      <c r="I27">
        <v>64</v>
      </c>
      <c r="J27">
        <v>6</v>
      </c>
      <c r="K27">
        <v>242</v>
      </c>
      <c r="L27">
        <v>395</v>
      </c>
      <c r="M27">
        <v>615</v>
      </c>
      <c r="N27">
        <v>3</v>
      </c>
      <c r="O27">
        <v>961</v>
      </c>
      <c r="P27" s="2">
        <v>0</v>
      </c>
    </row>
    <row r="28" spans="1:16">
      <c r="B28">
        <v>500</v>
      </c>
      <c r="C28">
        <v>37</v>
      </c>
      <c r="D28">
        <v>1463</v>
      </c>
      <c r="E28">
        <v>0</v>
      </c>
      <c r="F28" s="1">
        <f t="shared" si="0"/>
        <v>1</v>
      </c>
      <c r="G28" s="1">
        <f t="shared" si="1"/>
        <v>0.97533333333333339</v>
      </c>
      <c r="H28" s="1">
        <f t="shared" si="2"/>
        <v>0</v>
      </c>
      <c r="I28">
        <v>79</v>
      </c>
      <c r="J28">
        <v>5</v>
      </c>
      <c r="K28">
        <v>308</v>
      </c>
      <c r="L28">
        <v>395</v>
      </c>
      <c r="M28">
        <v>584</v>
      </c>
      <c r="N28">
        <v>2</v>
      </c>
      <c r="O28">
        <v>871</v>
      </c>
      <c r="P28" s="2">
        <v>0</v>
      </c>
    </row>
    <row r="29" spans="1:16">
      <c r="B29">
        <v>500</v>
      </c>
      <c r="C29">
        <v>25</v>
      </c>
      <c r="D29">
        <v>1454</v>
      </c>
      <c r="E29">
        <v>21</v>
      </c>
      <c r="F29" s="1">
        <f t="shared" si="0"/>
        <v>1</v>
      </c>
      <c r="G29" s="1">
        <f t="shared" si="1"/>
        <v>0.96933333333333338</v>
      </c>
      <c r="H29" s="1">
        <f t="shared" si="2"/>
        <v>1.0500000000000001E-2</v>
      </c>
      <c r="I29">
        <v>105</v>
      </c>
      <c r="J29">
        <v>5</v>
      </c>
      <c r="K29">
        <v>367</v>
      </c>
      <c r="L29">
        <v>914</v>
      </c>
      <c r="M29">
        <v>1037</v>
      </c>
      <c r="N29">
        <v>1</v>
      </c>
      <c r="O29">
        <v>1437</v>
      </c>
      <c r="P29" s="2">
        <v>1.0500000000000001E-2</v>
      </c>
    </row>
    <row r="30" spans="1:16">
      <c r="B30">
        <v>500</v>
      </c>
      <c r="C30">
        <v>34</v>
      </c>
      <c r="D30">
        <v>1466</v>
      </c>
      <c r="E30">
        <v>0</v>
      </c>
      <c r="F30" s="1">
        <f t="shared" si="0"/>
        <v>1</v>
      </c>
      <c r="G30" s="1">
        <f t="shared" si="1"/>
        <v>0.97733333333333339</v>
      </c>
      <c r="H30" s="1">
        <f t="shared" si="2"/>
        <v>0</v>
      </c>
      <c r="I30">
        <v>51</v>
      </c>
      <c r="J30">
        <v>6</v>
      </c>
      <c r="K30">
        <v>188</v>
      </c>
      <c r="L30">
        <v>295</v>
      </c>
      <c r="M30">
        <v>438</v>
      </c>
      <c r="N30">
        <v>3</v>
      </c>
      <c r="O30">
        <v>751</v>
      </c>
      <c r="P30" s="2">
        <v>0</v>
      </c>
    </row>
    <row r="31" spans="1:16">
      <c r="A31" t="s">
        <v>15</v>
      </c>
      <c r="B31">
        <f>SUM(B26:B30)/5</f>
        <v>500</v>
      </c>
      <c r="C31">
        <f t="shared" ref="C31:E31" si="9">SUM(C26:C30)/5</f>
        <v>34</v>
      </c>
      <c r="D31">
        <f t="shared" si="9"/>
        <v>1461.8</v>
      </c>
      <c r="E31">
        <f t="shared" si="9"/>
        <v>4.2</v>
      </c>
      <c r="F31" s="1">
        <f t="shared" si="0"/>
        <v>1</v>
      </c>
      <c r="G31" s="1">
        <f t="shared" si="1"/>
        <v>0.97453333333333325</v>
      </c>
      <c r="H31" s="1">
        <f t="shared" si="2"/>
        <v>2.1000000000000003E-3</v>
      </c>
      <c r="I31">
        <f>SUM(I26:I30)/5</f>
        <v>87.8</v>
      </c>
      <c r="J31">
        <f t="shared" ref="J31:P31" si="10">SUM(J26:J30)/5</f>
        <v>6.6</v>
      </c>
      <c r="K31">
        <f t="shared" si="10"/>
        <v>321.60000000000002</v>
      </c>
      <c r="L31">
        <f t="shared" si="10"/>
        <v>562</v>
      </c>
      <c r="M31">
        <f t="shared" si="10"/>
        <v>779.4</v>
      </c>
      <c r="N31">
        <f t="shared" si="10"/>
        <v>2.4</v>
      </c>
      <c r="O31">
        <f t="shared" si="10"/>
        <v>1086</v>
      </c>
      <c r="P31" s="4">
        <f t="shared" si="10"/>
        <v>2.1000000000000003E-3</v>
      </c>
    </row>
    <row r="32" spans="1:16">
      <c r="F32" s="1"/>
      <c r="G32" s="1"/>
      <c r="H32" s="1"/>
    </row>
    <row r="33" spans="1:16">
      <c r="F33" s="1"/>
      <c r="G33" s="1"/>
      <c r="H33" s="1"/>
    </row>
    <row r="34" spans="1:16">
      <c r="A34" t="s">
        <v>19</v>
      </c>
      <c r="B34">
        <v>500</v>
      </c>
      <c r="C34">
        <v>11</v>
      </c>
      <c r="D34">
        <v>1489</v>
      </c>
      <c r="E34">
        <v>0</v>
      </c>
      <c r="F34" s="1">
        <f t="shared" si="0"/>
        <v>1</v>
      </c>
      <c r="G34" s="1">
        <f t="shared" si="1"/>
        <v>0.9926666666666667</v>
      </c>
      <c r="H34" s="1">
        <f t="shared" si="2"/>
        <v>0</v>
      </c>
      <c r="I34">
        <v>13</v>
      </c>
      <c r="J34">
        <v>6</v>
      </c>
      <c r="K34">
        <v>12</v>
      </c>
      <c r="L34">
        <v>17</v>
      </c>
      <c r="M34">
        <v>246</v>
      </c>
      <c r="N34">
        <v>3</v>
      </c>
      <c r="O34">
        <v>280</v>
      </c>
      <c r="P34" s="2">
        <v>0</v>
      </c>
    </row>
    <row r="35" spans="1:16">
      <c r="B35">
        <v>500</v>
      </c>
      <c r="C35">
        <v>27</v>
      </c>
      <c r="D35">
        <v>1473</v>
      </c>
      <c r="E35">
        <v>0</v>
      </c>
      <c r="F35" s="1">
        <f t="shared" si="0"/>
        <v>1</v>
      </c>
      <c r="G35" s="1">
        <f t="shared" si="1"/>
        <v>0.98199999999999998</v>
      </c>
      <c r="H35" s="1">
        <f t="shared" si="2"/>
        <v>0</v>
      </c>
      <c r="I35">
        <v>17</v>
      </c>
      <c r="J35">
        <v>6</v>
      </c>
      <c r="K35">
        <v>18</v>
      </c>
      <c r="L35">
        <v>101</v>
      </c>
      <c r="M35">
        <v>260</v>
      </c>
      <c r="N35">
        <v>2</v>
      </c>
      <c r="O35">
        <v>314</v>
      </c>
      <c r="P35" s="2">
        <v>0</v>
      </c>
    </row>
    <row r="36" spans="1:16">
      <c r="B36">
        <v>500</v>
      </c>
      <c r="C36">
        <v>23</v>
      </c>
      <c r="D36">
        <v>1477</v>
      </c>
      <c r="E36">
        <v>0</v>
      </c>
      <c r="F36" s="1">
        <f t="shared" si="0"/>
        <v>1</v>
      </c>
      <c r="G36" s="1">
        <f t="shared" si="1"/>
        <v>0.98466666666666669</v>
      </c>
      <c r="H36" s="1">
        <f t="shared" si="2"/>
        <v>0</v>
      </c>
      <c r="I36">
        <v>68</v>
      </c>
      <c r="J36">
        <v>6</v>
      </c>
      <c r="K36">
        <v>282</v>
      </c>
      <c r="L36">
        <v>524</v>
      </c>
      <c r="M36">
        <v>739</v>
      </c>
      <c r="N36">
        <v>3</v>
      </c>
      <c r="O36">
        <v>1163</v>
      </c>
      <c r="P36" s="2">
        <v>0</v>
      </c>
    </row>
    <row r="37" spans="1:16">
      <c r="B37">
        <v>500</v>
      </c>
      <c r="C37">
        <v>23</v>
      </c>
      <c r="D37">
        <v>1477</v>
      </c>
      <c r="E37">
        <v>0</v>
      </c>
      <c r="F37" s="1">
        <f t="shared" si="0"/>
        <v>1</v>
      </c>
      <c r="G37" s="1">
        <f t="shared" si="1"/>
        <v>0.98466666666666669</v>
      </c>
      <c r="H37" s="1">
        <f t="shared" si="2"/>
        <v>0</v>
      </c>
      <c r="I37">
        <v>15</v>
      </c>
      <c r="J37">
        <v>6</v>
      </c>
      <c r="K37">
        <v>14</v>
      </c>
      <c r="L37">
        <v>56</v>
      </c>
      <c r="M37">
        <v>259</v>
      </c>
      <c r="N37">
        <v>3</v>
      </c>
      <c r="O37">
        <v>318</v>
      </c>
      <c r="P37" s="2">
        <v>0</v>
      </c>
    </row>
    <row r="38" spans="1:16">
      <c r="B38">
        <v>500</v>
      </c>
      <c r="C38">
        <v>6</v>
      </c>
      <c r="D38">
        <v>1494</v>
      </c>
      <c r="E38">
        <v>0</v>
      </c>
      <c r="F38" s="1">
        <f t="shared" si="0"/>
        <v>1</v>
      </c>
      <c r="G38" s="1">
        <f t="shared" si="1"/>
        <v>0.996</v>
      </c>
      <c r="H38" s="1">
        <f t="shared" si="2"/>
        <v>0</v>
      </c>
      <c r="I38">
        <v>9</v>
      </c>
      <c r="J38">
        <v>5</v>
      </c>
      <c r="K38">
        <v>11</v>
      </c>
      <c r="L38">
        <v>12</v>
      </c>
      <c r="M38">
        <v>213</v>
      </c>
      <c r="N38">
        <v>2</v>
      </c>
      <c r="O38">
        <v>283</v>
      </c>
      <c r="P38" s="2">
        <v>0</v>
      </c>
    </row>
    <row r="39" spans="1:16">
      <c r="A39" t="s">
        <v>15</v>
      </c>
      <c r="B39">
        <f>SUM(B34:B38)/5</f>
        <v>500</v>
      </c>
      <c r="C39">
        <f t="shared" ref="C39:D39" si="11">SUM(C34:C38)/5</f>
        <v>18</v>
      </c>
      <c r="D39">
        <f t="shared" si="11"/>
        <v>1482</v>
      </c>
      <c r="E39">
        <f>SUM(E34:E38)/5</f>
        <v>0</v>
      </c>
      <c r="F39" s="1">
        <f t="shared" si="0"/>
        <v>1</v>
      </c>
      <c r="G39" s="1">
        <f t="shared" si="1"/>
        <v>0.98799999999999999</v>
      </c>
      <c r="H39" s="1">
        <f t="shared" si="2"/>
        <v>0</v>
      </c>
      <c r="I39">
        <f>SUM(I34:I38)/5</f>
        <v>24.4</v>
      </c>
      <c r="J39">
        <f t="shared" ref="J39:P39" si="12">SUM(J34:J38)/5</f>
        <v>5.8</v>
      </c>
      <c r="K39">
        <f t="shared" si="12"/>
        <v>67.400000000000006</v>
      </c>
      <c r="L39">
        <f t="shared" si="12"/>
        <v>142</v>
      </c>
      <c r="M39">
        <f t="shared" si="12"/>
        <v>343.4</v>
      </c>
      <c r="N39">
        <f t="shared" si="12"/>
        <v>2.6</v>
      </c>
      <c r="O39">
        <f t="shared" si="12"/>
        <v>471.6</v>
      </c>
      <c r="P39" s="4">
        <f t="shared" si="12"/>
        <v>0</v>
      </c>
    </row>
    <row r="40" spans="1:16">
      <c r="F40" s="1"/>
      <c r="G40" s="1"/>
      <c r="H40" s="1"/>
    </row>
    <row r="41" spans="1:16">
      <c r="F41" s="1"/>
      <c r="G41" s="1"/>
      <c r="H41" s="1"/>
    </row>
    <row r="42" spans="1:16">
      <c r="A42" t="s">
        <v>20</v>
      </c>
      <c r="B42">
        <v>500</v>
      </c>
      <c r="C42">
        <v>33</v>
      </c>
      <c r="D42">
        <v>2162</v>
      </c>
      <c r="E42">
        <v>1305</v>
      </c>
      <c r="F42" s="1">
        <f t="shared" si="0"/>
        <v>1</v>
      </c>
      <c r="G42" s="1">
        <f>D42/(4000-500)</f>
        <v>0.61771428571428566</v>
      </c>
      <c r="H42" s="1">
        <f>E42/4000</f>
        <v>0.32624999999999998</v>
      </c>
      <c r="I42">
        <v>857</v>
      </c>
      <c r="J42">
        <v>945</v>
      </c>
      <c r="K42">
        <v>1938</v>
      </c>
      <c r="L42">
        <v>2036</v>
      </c>
      <c r="M42">
        <v>2098</v>
      </c>
      <c r="N42">
        <v>0</v>
      </c>
      <c r="O42">
        <v>2734</v>
      </c>
      <c r="P42" s="2">
        <v>0.32619999999999999</v>
      </c>
    </row>
    <row r="43" spans="1:16">
      <c r="B43">
        <v>500</v>
      </c>
      <c r="C43">
        <v>43</v>
      </c>
      <c r="D43">
        <v>1756</v>
      </c>
      <c r="E43">
        <v>1701</v>
      </c>
      <c r="F43" s="1">
        <f t="shared" si="0"/>
        <v>1</v>
      </c>
      <c r="G43" s="1">
        <f t="shared" ref="G43:G79" si="13">D43/(4000-500)</f>
        <v>0.50171428571428567</v>
      </c>
      <c r="H43" s="1">
        <f t="shared" ref="H43:H79" si="14">E43/4000</f>
        <v>0.42525000000000002</v>
      </c>
      <c r="I43">
        <v>892</v>
      </c>
      <c r="J43">
        <v>874</v>
      </c>
      <c r="K43">
        <v>1821</v>
      </c>
      <c r="L43">
        <v>1883</v>
      </c>
      <c r="M43">
        <v>2959</v>
      </c>
      <c r="N43">
        <v>0</v>
      </c>
      <c r="O43">
        <v>3451</v>
      </c>
      <c r="P43" s="2">
        <v>0.42520000000000002</v>
      </c>
    </row>
    <row r="44" spans="1:16">
      <c r="B44">
        <v>500</v>
      </c>
      <c r="C44">
        <v>43</v>
      </c>
      <c r="D44">
        <v>1756</v>
      </c>
      <c r="E44">
        <v>1701</v>
      </c>
      <c r="F44" s="1">
        <f t="shared" si="0"/>
        <v>1</v>
      </c>
      <c r="G44" s="1">
        <f t="shared" si="13"/>
        <v>0.50171428571428567</v>
      </c>
      <c r="H44" s="1">
        <f t="shared" si="14"/>
        <v>0.42525000000000002</v>
      </c>
      <c r="I44">
        <v>615</v>
      </c>
      <c r="J44">
        <v>675</v>
      </c>
      <c r="K44">
        <v>811</v>
      </c>
      <c r="L44">
        <v>1151</v>
      </c>
      <c r="M44">
        <v>1481</v>
      </c>
      <c r="N44">
        <v>4</v>
      </c>
      <c r="O44">
        <v>2115</v>
      </c>
      <c r="P44" s="2">
        <v>0.45069999999999999</v>
      </c>
    </row>
    <row r="45" spans="1:16">
      <c r="B45">
        <v>498</v>
      </c>
      <c r="C45">
        <v>34</v>
      </c>
      <c r="D45">
        <v>3012</v>
      </c>
      <c r="E45">
        <v>456</v>
      </c>
      <c r="F45" s="1">
        <f t="shared" si="0"/>
        <v>0.996</v>
      </c>
      <c r="G45" s="1">
        <f t="shared" si="13"/>
        <v>0.86057142857142854</v>
      </c>
      <c r="H45" s="1">
        <f t="shared" si="14"/>
        <v>0.114</v>
      </c>
      <c r="I45">
        <v>1077</v>
      </c>
      <c r="J45">
        <v>1238</v>
      </c>
      <c r="K45">
        <v>1311</v>
      </c>
      <c r="L45">
        <v>1334</v>
      </c>
      <c r="M45">
        <v>2295</v>
      </c>
      <c r="N45">
        <v>1</v>
      </c>
      <c r="O45">
        <v>2668</v>
      </c>
      <c r="P45" s="2">
        <v>0.114</v>
      </c>
    </row>
    <row r="46" spans="1:16">
      <c r="B46">
        <v>500</v>
      </c>
      <c r="C46">
        <v>37</v>
      </c>
      <c r="D46">
        <v>1773</v>
      </c>
      <c r="E46">
        <v>1690</v>
      </c>
      <c r="F46" s="1">
        <f t="shared" si="0"/>
        <v>1</v>
      </c>
      <c r="G46" s="1">
        <f t="shared" si="13"/>
        <v>0.50657142857142856</v>
      </c>
      <c r="H46" s="1">
        <f t="shared" si="14"/>
        <v>0.42249999999999999</v>
      </c>
      <c r="I46">
        <v>516</v>
      </c>
      <c r="J46">
        <v>388</v>
      </c>
      <c r="K46">
        <v>883</v>
      </c>
      <c r="L46">
        <v>913</v>
      </c>
      <c r="M46">
        <v>1544</v>
      </c>
      <c r="N46">
        <v>5</v>
      </c>
      <c r="O46">
        <v>2218</v>
      </c>
      <c r="P46" s="2">
        <v>0.42249999999999999</v>
      </c>
    </row>
    <row r="47" spans="1:16">
      <c r="A47" t="s">
        <v>15</v>
      </c>
      <c r="B47">
        <f>SUM(B42:B46)/5</f>
        <v>499.6</v>
      </c>
      <c r="C47">
        <f t="shared" ref="C47:E47" si="15">SUM(C42:C46)/5</f>
        <v>38</v>
      </c>
      <c r="D47">
        <f t="shared" si="15"/>
        <v>2091.8000000000002</v>
      </c>
      <c r="E47">
        <f t="shared" si="15"/>
        <v>1370.6</v>
      </c>
      <c r="F47" s="1">
        <f t="shared" si="0"/>
        <v>0.99920000000000009</v>
      </c>
      <c r="G47" s="1">
        <f t="shared" si="13"/>
        <v>0.59765714285714289</v>
      </c>
      <c r="H47" s="1">
        <f t="shared" si="14"/>
        <v>0.34264999999999995</v>
      </c>
      <c r="I47">
        <f>SUM(I42:I46)/5</f>
        <v>791.4</v>
      </c>
      <c r="J47">
        <f t="shared" ref="J47:P47" si="16">SUM(J42:J46)/5</f>
        <v>824</v>
      </c>
      <c r="K47">
        <f t="shared" si="16"/>
        <v>1352.8</v>
      </c>
      <c r="L47">
        <f t="shared" si="16"/>
        <v>1463.4</v>
      </c>
      <c r="M47">
        <f t="shared" si="16"/>
        <v>2075.4</v>
      </c>
      <c r="N47">
        <f t="shared" si="16"/>
        <v>2</v>
      </c>
      <c r="O47">
        <f t="shared" si="16"/>
        <v>2637.2</v>
      </c>
      <c r="P47" s="4">
        <f t="shared" si="16"/>
        <v>0.34772000000000008</v>
      </c>
    </row>
    <row r="48" spans="1:16">
      <c r="F48" s="1"/>
      <c r="G48" s="1"/>
      <c r="H48" s="1"/>
    </row>
    <row r="49" spans="1:16">
      <c r="F49" s="1"/>
      <c r="G49" s="1"/>
      <c r="H49" s="1"/>
    </row>
    <row r="50" spans="1:16">
      <c r="A50" t="s">
        <v>21</v>
      </c>
      <c r="B50">
        <v>500</v>
      </c>
      <c r="C50">
        <v>36</v>
      </c>
      <c r="D50">
        <v>2334</v>
      </c>
      <c r="E50">
        <v>1130</v>
      </c>
      <c r="F50" s="1">
        <f t="shared" si="0"/>
        <v>1</v>
      </c>
      <c r="G50" s="1">
        <f t="shared" si="13"/>
        <v>0.66685714285714282</v>
      </c>
      <c r="H50" s="1">
        <f t="shared" si="14"/>
        <v>0.28249999999999997</v>
      </c>
      <c r="I50">
        <v>1505</v>
      </c>
      <c r="J50">
        <v>1027</v>
      </c>
      <c r="K50">
        <v>3139</v>
      </c>
      <c r="L50">
        <v>3233</v>
      </c>
      <c r="M50">
        <v>3702</v>
      </c>
      <c r="N50">
        <v>1</v>
      </c>
      <c r="O50">
        <v>3847</v>
      </c>
      <c r="P50" s="2">
        <v>0.28249999999999997</v>
      </c>
    </row>
    <row r="51" spans="1:16">
      <c r="B51">
        <v>500</v>
      </c>
      <c r="C51">
        <v>30</v>
      </c>
      <c r="D51">
        <v>2154</v>
      </c>
      <c r="E51">
        <v>1316</v>
      </c>
      <c r="F51" s="1">
        <f t="shared" si="0"/>
        <v>1</v>
      </c>
      <c r="G51" s="1">
        <f t="shared" si="13"/>
        <v>0.61542857142857144</v>
      </c>
      <c r="H51" s="1">
        <f t="shared" si="14"/>
        <v>0.32900000000000001</v>
      </c>
      <c r="I51">
        <v>319</v>
      </c>
      <c r="J51">
        <v>236</v>
      </c>
      <c r="K51">
        <v>675</v>
      </c>
      <c r="L51">
        <v>813</v>
      </c>
      <c r="M51">
        <v>1510</v>
      </c>
      <c r="N51">
        <v>3</v>
      </c>
      <c r="O51">
        <v>2206</v>
      </c>
      <c r="P51" s="2">
        <v>0.32900000000000001</v>
      </c>
    </row>
    <row r="52" spans="1:16">
      <c r="B52">
        <v>500</v>
      </c>
      <c r="C52">
        <v>33</v>
      </c>
      <c r="D52">
        <v>1536</v>
      </c>
      <c r="E52">
        <v>1931</v>
      </c>
      <c r="F52" s="1">
        <f t="shared" si="0"/>
        <v>1</v>
      </c>
      <c r="G52" s="1">
        <f t="shared" si="13"/>
        <v>0.43885714285714283</v>
      </c>
      <c r="H52" s="1">
        <f t="shared" si="14"/>
        <v>0.48275000000000001</v>
      </c>
      <c r="I52">
        <v>746</v>
      </c>
      <c r="J52">
        <v>363</v>
      </c>
      <c r="K52">
        <v>1917</v>
      </c>
      <c r="L52">
        <v>1927</v>
      </c>
      <c r="M52">
        <v>3316</v>
      </c>
      <c r="N52">
        <v>0</v>
      </c>
      <c r="O52">
        <v>3731</v>
      </c>
      <c r="P52" s="2">
        <v>0.48270000000000002</v>
      </c>
    </row>
    <row r="53" spans="1:16">
      <c r="B53">
        <v>500</v>
      </c>
      <c r="C53">
        <v>36</v>
      </c>
      <c r="D53">
        <v>1827</v>
      </c>
      <c r="E53">
        <v>1637</v>
      </c>
      <c r="F53" s="1">
        <f t="shared" si="0"/>
        <v>1</v>
      </c>
      <c r="G53" s="1">
        <f t="shared" si="13"/>
        <v>0.52200000000000002</v>
      </c>
      <c r="H53" s="1">
        <f t="shared" si="14"/>
        <v>0.40925</v>
      </c>
      <c r="I53">
        <v>1503</v>
      </c>
      <c r="J53">
        <v>756</v>
      </c>
      <c r="K53">
        <v>3418</v>
      </c>
      <c r="L53">
        <v>3540</v>
      </c>
      <c r="M53">
        <v>3848</v>
      </c>
      <c r="N53">
        <v>9</v>
      </c>
      <c r="O53">
        <v>3999</v>
      </c>
      <c r="P53" s="2">
        <v>0.40920000000000001</v>
      </c>
    </row>
    <row r="54" spans="1:16">
      <c r="B54">
        <v>498</v>
      </c>
      <c r="C54">
        <v>49</v>
      </c>
      <c r="D54">
        <v>2295</v>
      </c>
      <c r="E54">
        <v>1158</v>
      </c>
      <c r="F54" s="1">
        <f t="shared" si="0"/>
        <v>0.996</v>
      </c>
      <c r="G54" s="1">
        <f t="shared" si="13"/>
        <v>0.65571428571428569</v>
      </c>
      <c r="H54" s="1">
        <f t="shared" si="14"/>
        <v>0.28949999999999998</v>
      </c>
      <c r="I54">
        <v>972</v>
      </c>
      <c r="J54">
        <v>544</v>
      </c>
      <c r="K54">
        <v>1781</v>
      </c>
      <c r="L54">
        <v>1893</v>
      </c>
      <c r="M54">
        <v>6251</v>
      </c>
      <c r="N54">
        <v>8</v>
      </c>
      <c r="O54">
        <v>6968</v>
      </c>
      <c r="P54" s="2">
        <v>0.28949999999999998</v>
      </c>
    </row>
    <row r="55" spans="1:16">
      <c r="A55" t="s">
        <v>15</v>
      </c>
      <c r="B55">
        <f>SUM(B50:B54)/5</f>
        <v>499.6</v>
      </c>
      <c r="C55">
        <f t="shared" ref="C55:E55" si="17">SUM(C50:C54)/5</f>
        <v>36.799999999999997</v>
      </c>
      <c r="D55">
        <f t="shared" si="17"/>
        <v>2029.2</v>
      </c>
      <c r="E55">
        <f t="shared" si="17"/>
        <v>1434.4</v>
      </c>
      <c r="F55" s="1">
        <f t="shared" si="0"/>
        <v>0.99920000000000009</v>
      </c>
      <c r="G55" s="1">
        <f t="shared" si="13"/>
        <v>0.5797714285714286</v>
      </c>
      <c r="H55" s="1">
        <f t="shared" si="14"/>
        <v>0.35860000000000003</v>
      </c>
      <c r="I55">
        <f>SUM(I50:I54)/5</f>
        <v>1009</v>
      </c>
      <c r="J55">
        <f t="shared" ref="J55:P55" si="18">SUM(J50:J54)/5</f>
        <v>585.20000000000005</v>
      </c>
      <c r="K55">
        <f t="shared" si="18"/>
        <v>2186</v>
      </c>
      <c r="L55">
        <f t="shared" si="18"/>
        <v>2281.1999999999998</v>
      </c>
      <c r="M55">
        <f t="shared" si="18"/>
        <v>3725.4</v>
      </c>
      <c r="N55">
        <f t="shared" si="18"/>
        <v>4.2</v>
      </c>
      <c r="O55">
        <f t="shared" si="18"/>
        <v>4150.2</v>
      </c>
      <c r="P55" s="4">
        <f t="shared" si="18"/>
        <v>0.35858000000000001</v>
      </c>
    </row>
    <row r="56" spans="1:16">
      <c r="F56" s="1"/>
      <c r="G56" s="1"/>
      <c r="H56" s="1"/>
    </row>
    <row r="57" spans="1:16">
      <c r="F57" s="1"/>
      <c r="G57" s="1"/>
      <c r="H57" s="1"/>
    </row>
    <row r="58" spans="1:16">
      <c r="A58" t="s">
        <v>22</v>
      </c>
      <c r="B58">
        <v>500</v>
      </c>
      <c r="C58">
        <v>37</v>
      </c>
      <c r="D58">
        <v>3463</v>
      </c>
      <c r="E58">
        <v>0</v>
      </c>
      <c r="F58" s="1">
        <f t="shared" si="0"/>
        <v>1</v>
      </c>
      <c r="G58" s="1">
        <f t="shared" si="13"/>
        <v>0.98942857142857144</v>
      </c>
      <c r="H58" s="1">
        <f t="shared" si="14"/>
        <v>0</v>
      </c>
      <c r="I58">
        <v>160</v>
      </c>
      <c r="J58">
        <v>8</v>
      </c>
      <c r="K58">
        <v>384</v>
      </c>
      <c r="L58">
        <v>835</v>
      </c>
      <c r="M58">
        <v>1410</v>
      </c>
      <c r="N58">
        <v>2</v>
      </c>
      <c r="O58">
        <v>1968</v>
      </c>
      <c r="P58" s="2">
        <v>0</v>
      </c>
    </row>
    <row r="59" spans="1:16">
      <c r="B59">
        <v>500</v>
      </c>
      <c r="C59">
        <v>34</v>
      </c>
      <c r="D59">
        <v>3432</v>
      </c>
      <c r="E59">
        <v>34</v>
      </c>
      <c r="F59" s="1">
        <f t="shared" si="0"/>
        <v>1</v>
      </c>
      <c r="G59" s="1">
        <f t="shared" si="13"/>
        <v>0.98057142857142854</v>
      </c>
      <c r="H59" s="1">
        <f t="shared" si="14"/>
        <v>8.5000000000000006E-3</v>
      </c>
      <c r="I59">
        <v>290</v>
      </c>
      <c r="J59">
        <v>248</v>
      </c>
      <c r="K59">
        <v>546</v>
      </c>
      <c r="L59">
        <v>991</v>
      </c>
      <c r="M59">
        <v>1448</v>
      </c>
      <c r="N59">
        <v>1</v>
      </c>
      <c r="O59">
        <v>1941</v>
      </c>
      <c r="P59" s="2">
        <v>8.5000000000000006E-3</v>
      </c>
    </row>
    <row r="60" spans="1:16">
      <c r="B60">
        <v>500</v>
      </c>
      <c r="C60">
        <v>40</v>
      </c>
      <c r="D60">
        <v>1741</v>
      </c>
      <c r="E60">
        <v>1719</v>
      </c>
      <c r="F60" s="1">
        <f t="shared" si="0"/>
        <v>1</v>
      </c>
      <c r="G60" s="1">
        <f t="shared" si="13"/>
        <v>0.49742857142857144</v>
      </c>
      <c r="H60" s="1">
        <f t="shared" si="14"/>
        <v>0.42975000000000002</v>
      </c>
      <c r="I60">
        <v>425</v>
      </c>
      <c r="J60">
        <v>141</v>
      </c>
      <c r="K60">
        <v>1044</v>
      </c>
      <c r="L60">
        <v>1581</v>
      </c>
      <c r="M60">
        <v>2931</v>
      </c>
      <c r="N60">
        <v>1</v>
      </c>
      <c r="O60">
        <v>3622</v>
      </c>
      <c r="P60" s="2">
        <v>0.42980000000000002</v>
      </c>
    </row>
    <row r="61" spans="1:16">
      <c r="B61">
        <v>500</v>
      </c>
      <c r="C61">
        <v>31</v>
      </c>
      <c r="D61">
        <v>3469</v>
      </c>
      <c r="E61">
        <v>0</v>
      </c>
      <c r="F61" s="1">
        <f t="shared" si="0"/>
        <v>1</v>
      </c>
      <c r="G61" s="1">
        <f t="shared" si="13"/>
        <v>0.9911428571428571</v>
      </c>
      <c r="H61" s="1">
        <f t="shared" si="14"/>
        <v>0</v>
      </c>
      <c r="I61">
        <v>143</v>
      </c>
      <c r="J61">
        <v>24</v>
      </c>
      <c r="K61">
        <v>388</v>
      </c>
      <c r="L61">
        <v>923</v>
      </c>
      <c r="M61">
        <v>1219</v>
      </c>
      <c r="N61">
        <v>2</v>
      </c>
      <c r="O61">
        <v>1660</v>
      </c>
      <c r="P61" s="2">
        <v>0</v>
      </c>
    </row>
    <row r="62" spans="1:16">
      <c r="B62">
        <v>500</v>
      </c>
      <c r="C62">
        <v>44</v>
      </c>
      <c r="D62">
        <v>3456</v>
      </c>
      <c r="E62">
        <v>0</v>
      </c>
      <c r="F62" s="1">
        <f t="shared" si="0"/>
        <v>1</v>
      </c>
      <c r="G62" s="1">
        <f t="shared" si="13"/>
        <v>0.98742857142857143</v>
      </c>
      <c r="H62" s="1">
        <f t="shared" si="14"/>
        <v>0</v>
      </c>
      <c r="I62">
        <v>145</v>
      </c>
      <c r="J62">
        <v>11</v>
      </c>
      <c r="K62">
        <v>459</v>
      </c>
      <c r="L62">
        <v>754</v>
      </c>
      <c r="M62">
        <v>1414</v>
      </c>
      <c r="N62">
        <v>3</v>
      </c>
      <c r="O62">
        <v>1861</v>
      </c>
      <c r="P62" s="2">
        <v>0</v>
      </c>
    </row>
    <row r="63" spans="1:16">
      <c r="A63" t="s">
        <v>15</v>
      </c>
      <c r="B63">
        <f>SUM(B58:B62)/5</f>
        <v>500</v>
      </c>
      <c r="C63">
        <f t="shared" ref="C63:E63" si="19">SUM(C58:C62)/5</f>
        <v>37.200000000000003</v>
      </c>
      <c r="D63">
        <f t="shared" si="19"/>
        <v>3112.2</v>
      </c>
      <c r="E63">
        <f t="shared" si="19"/>
        <v>350.6</v>
      </c>
      <c r="F63" s="1">
        <f t="shared" si="0"/>
        <v>1</v>
      </c>
      <c r="G63" s="1">
        <f t="shared" si="13"/>
        <v>0.88919999999999999</v>
      </c>
      <c r="H63" s="1">
        <f t="shared" si="14"/>
        <v>8.7650000000000006E-2</v>
      </c>
      <c r="I63">
        <f>SUM(I58:I62)/5</f>
        <v>232.6</v>
      </c>
      <c r="J63">
        <f t="shared" ref="J63:P63" si="20">SUM(J58:J62)/5</f>
        <v>86.4</v>
      </c>
      <c r="K63">
        <f t="shared" si="20"/>
        <v>564.20000000000005</v>
      </c>
      <c r="L63">
        <f t="shared" si="20"/>
        <v>1016.8</v>
      </c>
      <c r="M63">
        <f t="shared" si="20"/>
        <v>1684.4</v>
      </c>
      <c r="N63">
        <f t="shared" si="20"/>
        <v>1.8</v>
      </c>
      <c r="O63">
        <f t="shared" si="20"/>
        <v>2210.4</v>
      </c>
      <c r="P63" s="4">
        <f t="shared" si="20"/>
        <v>8.7660000000000002E-2</v>
      </c>
    </row>
    <row r="64" spans="1:16">
      <c r="F64" s="1"/>
      <c r="G64" s="1"/>
      <c r="H64" s="1"/>
    </row>
    <row r="65" spans="1:16">
      <c r="F65" s="1"/>
      <c r="G65" s="1"/>
      <c r="H65" s="1"/>
    </row>
    <row r="66" spans="1:16">
      <c r="A66" t="s">
        <v>23</v>
      </c>
      <c r="B66">
        <v>500</v>
      </c>
      <c r="C66">
        <v>31</v>
      </c>
      <c r="D66">
        <v>3439</v>
      </c>
      <c r="E66">
        <v>30</v>
      </c>
      <c r="F66" s="1">
        <f t="shared" si="0"/>
        <v>1</v>
      </c>
      <c r="G66" s="1">
        <f t="shared" si="13"/>
        <v>0.98257142857142854</v>
      </c>
      <c r="H66" s="1">
        <f t="shared" si="14"/>
        <v>7.4999999999999997E-3</v>
      </c>
      <c r="I66">
        <v>180</v>
      </c>
      <c r="J66">
        <v>33</v>
      </c>
      <c r="K66">
        <v>359</v>
      </c>
      <c r="L66">
        <v>751</v>
      </c>
      <c r="M66">
        <v>1305</v>
      </c>
      <c r="N66">
        <v>1</v>
      </c>
      <c r="O66">
        <v>2044</v>
      </c>
      <c r="P66" s="2">
        <v>7.4999999999999997E-3</v>
      </c>
    </row>
    <row r="67" spans="1:16">
      <c r="B67">
        <v>500</v>
      </c>
      <c r="C67">
        <v>34</v>
      </c>
      <c r="D67">
        <v>3466</v>
      </c>
      <c r="E67">
        <v>0</v>
      </c>
      <c r="F67" s="1">
        <f t="shared" ref="F67:F79" si="21">B67/500</f>
        <v>1</v>
      </c>
      <c r="G67" s="1">
        <f t="shared" si="13"/>
        <v>0.99028571428571432</v>
      </c>
      <c r="H67" s="1">
        <f t="shared" si="14"/>
        <v>0</v>
      </c>
      <c r="I67">
        <v>234</v>
      </c>
      <c r="J67">
        <v>14</v>
      </c>
      <c r="K67">
        <v>702</v>
      </c>
      <c r="L67">
        <v>927</v>
      </c>
      <c r="M67">
        <v>1593</v>
      </c>
      <c r="N67">
        <v>2</v>
      </c>
      <c r="O67">
        <v>1903</v>
      </c>
      <c r="P67" s="2">
        <v>0</v>
      </c>
    </row>
    <row r="68" spans="1:16">
      <c r="B68">
        <v>500</v>
      </c>
      <c r="C68">
        <v>36</v>
      </c>
      <c r="D68">
        <v>3464</v>
      </c>
      <c r="E68">
        <v>0</v>
      </c>
      <c r="F68" s="1">
        <f t="shared" si="21"/>
        <v>1</v>
      </c>
      <c r="G68" s="1">
        <f t="shared" si="13"/>
        <v>0.98971428571428577</v>
      </c>
      <c r="H68" s="1">
        <f t="shared" si="14"/>
        <v>0</v>
      </c>
      <c r="I68">
        <v>191</v>
      </c>
      <c r="J68">
        <v>8</v>
      </c>
      <c r="K68">
        <v>533</v>
      </c>
      <c r="L68">
        <v>868</v>
      </c>
      <c r="M68">
        <v>1392</v>
      </c>
      <c r="N68">
        <v>2</v>
      </c>
      <c r="O68">
        <v>2154</v>
      </c>
      <c r="P68" s="2">
        <v>0</v>
      </c>
    </row>
    <row r="69" spans="1:16">
      <c r="B69">
        <v>500</v>
      </c>
      <c r="C69">
        <v>38</v>
      </c>
      <c r="D69">
        <v>3462</v>
      </c>
      <c r="E69">
        <v>0</v>
      </c>
      <c r="F69" s="1">
        <f t="shared" si="21"/>
        <v>1</v>
      </c>
      <c r="G69" s="1">
        <f t="shared" si="13"/>
        <v>0.9891428571428571</v>
      </c>
      <c r="H69" s="1">
        <f t="shared" si="14"/>
        <v>0</v>
      </c>
      <c r="I69">
        <v>182</v>
      </c>
      <c r="J69">
        <v>8</v>
      </c>
      <c r="K69">
        <v>598</v>
      </c>
      <c r="L69">
        <v>828</v>
      </c>
      <c r="M69">
        <v>1411</v>
      </c>
      <c r="N69">
        <v>2</v>
      </c>
      <c r="O69">
        <v>1904</v>
      </c>
      <c r="P69" s="2">
        <v>0</v>
      </c>
    </row>
    <row r="70" spans="1:16">
      <c r="B70">
        <v>500</v>
      </c>
      <c r="C70">
        <v>26</v>
      </c>
      <c r="D70">
        <v>3452</v>
      </c>
      <c r="E70">
        <v>22</v>
      </c>
      <c r="F70" s="1">
        <f t="shared" si="21"/>
        <v>1</v>
      </c>
      <c r="G70" s="1">
        <f t="shared" si="13"/>
        <v>0.98628571428571432</v>
      </c>
      <c r="H70" s="1">
        <f t="shared" si="14"/>
        <v>5.4999999999999997E-3</v>
      </c>
      <c r="I70">
        <v>118</v>
      </c>
      <c r="J70">
        <v>7</v>
      </c>
      <c r="K70">
        <v>471</v>
      </c>
      <c r="L70">
        <v>717</v>
      </c>
      <c r="M70">
        <v>1250</v>
      </c>
      <c r="N70">
        <v>1</v>
      </c>
      <c r="O70">
        <v>1686</v>
      </c>
      <c r="P70" s="2">
        <v>5.4999999999999997E-3</v>
      </c>
    </row>
    <row r="71" spans="1:16">
      <c r="A71" t="s">
        <v>15</v>
      </c>
      <c r="B71">
        <f>SUM(B66:B70)/5</f>
        <v>500</v>
      </c>
      <c r="C71">
        <f t="shared" ref="C71:E71" si="22">SUM(C66:C70)/5</f>
        <v>33</v>
      </c>
      <c r="D71">
        <f t="shared" si="22"/>
        <v>3456.6</v>
      </c>
      <c r="E71">
        <f t="shared" si="22"/>
        <v>10.4</v>
      </c>
      <c r="F71" s="1">
        <f t="shared" si="21"/>
        <v>1</v>
      </c>
      <c r="G71" s="1">
        <f t="shared" si="13"/>
        <v>0.98759999999999992</v>
      </c>
      <c r="H71" s="1">
        <f t="shared" si="14"/>
        <v>2.5999999999999999E-3</v>
      </c>
      <c r="I71">
        <f>SUM(I66:I70)/5</f>
        <v>181</v>
      </c>
      <c r="J71">
        <f t="shared" ref="J71:P71" si="23">SUM(J66:J70)/5</f>
        <v>14</v>
      </c>
      <c r="K71">
        <f t="shared" si="23"/>
        <v>532.6</v>
      </c>
      <c r="L71">
        <f t="shared" si="23"/>
        <v>818.2</v>
      </c>
      <c r="M71">
        <f t="shared" si="23"/>
        <v>1390.2</v>
      </c>
      <c r="N71">
        <f t="shared" si="23"/>
        <v>1.6</v>
      </c>
      <c r="O71">
        <f t="shared" si="23"/>
        <v>1938.2</v>
      </c>
      <c r="P71" s="4">
        <f t="shared" si="23"/>
        <v>2.5999999999999999E-3</v>
      </c>
    </row>
    <row r="72" spans="1:16">
      <c r="F72" s="1"/>
      <c r="G72" s="1"/>
      <c r="H72" s="1"/>
    </row>
    <row r="73" spans="1:16">
      <c r="F73" s="1"/>
      <c r="G73" s="1"/>
      <c r="H73" s="1"/>
    </row>
    <row r="74" spans="1:16">
      <c r="A74" t="s">
        <v>25</v>
      </c>
      <c r="B74">
        <v>500</v>
      </c>
      <c r="C74">
        <v>41</v>
      </c>
      <c r="D74">
        <v>3459</v>
      </c>
      <c r="E74">
        <v>0</v>
      </c>
      <c r="F74" s="1">
        <f t="shared" si="21"/>
        <v>1</v>
      </c>
      <c r="G74" s="1">
        <f t="shared" si="13"/>
        <v>0.98828571428571432</v>
      </c>
      <c r="H74" s="1">
        <f t="shared" si="14"/>
        <v>0</v>
      </c>
      <c r="I74">
        <v>63</v>
      </c>
      <c r="J74">
        <v>5</v>
      </c>
      <c r="K74">
        <v>282</v>
      </c>
      <c r="L74">
        <v>538</v>
      </c>
      <c r="M74">
        <v>743</v>
      </c>
      <c r="N74">
        <v>3</v>
      </c>
      <c r="O74">
        <v>1519</v>
      </c>
      <c r="P74" s="2">
        <v>0</v>
      </c>
    </row>
    <row r="75" spans="1:16">
      <c r="B75">
        <v>500</v>
      </c>
      <c r="C75">
        <v>24</v>
      </c>
      <c r="D75">
        <v>3476</v>
      </c>
      <c r="E75">
        <v>0</v>
      </c>
      <c r="F75" s="1">
        <f t="shared" si="21"/>
        <v>1</v>
      </c>
      <c r="G75" s="1">
        <f t="shared" si="13"/>
        <v>0.99314285714285711</v>
      </c>
      <c r="H75" s="1">
        <f t="shared" si="14"/>
        <v>0</v>
      </c>
      <c r="I75">
        <v>20</v>
      </c>
      <c r="J75">
        <v>5</v>
      </c>
      <c r="K75">
        <v>18</v>
      </c>
      <c r="L75">
        <v>160</v>
      </c>
      <c r="M75">
        <v>264</v>
      </c>
      <c r="N75">
        <v>2</v>
      </c>
      <c r="O75">
        <v>545</v>
      </c>
      <c r="P75" s="2">
        <v>0</v>
      </c>
    </row>
    <row r="76" spans="1:16">
      <c r="B76">
        <v>500</v>
      </c>
      <c r="C76">
        <v>31</v>
      </c>
      <c r="D76">
        <v>3469</v>
      </c>
      <c r="E76">
        <v>0</v>
      </c>
      <c r="F76" s="1">
        <f t="shared" si="21"/>
        <v>1</v>
      </c>
      <c r="G76" s="1">
        <f t="shared" si="13"/>
        <v>0.9911428571428571</v>
      </c>
      <c r="H76" s="1">
        <f t="shared" si="14"/>
        <v>0</v>
      </c>
      <c r="I76">
        <v>73</v>
      </c>
      <c r="J76">
        <v>5</v>
      </c>
      <c r="K76">
        <v>130</v>
      </c>
      <c r="L76">
        <v>777</v>
      </c>
      <c r="M76">
        <v>1157</v>
      </c>
      <c r="N76">
        <v>2</v>
      </c>
      <c r="O76">
        <v>2132</v>
      </c>
      <c r="P76" s="2">
        <v>0</v>
      </c>
    </row>
    <row r="77" spans="1:16">
      <c r="B77">
        <v>500</v>
      </c>
      <c r="C77">
        <v>25</v>
      </c>
      <c r="D77">
        <v>3475</v>
      </c>
      <c r="E77">
        <v>0</v>
      </c>
      <c r="F77" s="1">
        <f t="shared" si="21"/>
        <v>1</v>
      </c>
      <c r="G77" s="1">
        <f t="shared" si="13"/>
        <v>0.99285714285714288</v>
      </c>
      <c r="H77" s="1">
        <f t="shared" si="14"/>
        <v>0</v>
      </c>
      <c r="I77">
        <v>34</v>
      </c>
      <c r="J77">
        <v>6</v>
      </c>
      <c r="K77">
        <v>85</v>
      </c>
      <c r="L77">
        <v>305</v>
      </c>
      <c r="M77">
        <v>406</v>
      </c>
      <c r="N77">
        <v>3</v>
      </c>
      <c r="O77">
        <v>919</v>
      </c>
      <c r="P77" s="2">
        <v>0</v>
      </c>
    </row>
    <row r="78" spans="1:16">
      <c r="B78">
        <v>500</v>
      </c>
      <c r="C78">
        <v>40</v>
      </c>
      <c r="D78">
        <v>3460</v>
      </c>
      <c r="E78">
        <v>0</v>
      </c>
      <c r="F78" s="1">
        <f t="shared" si="21"/>
        <v>1</v>
      </c>
      <c r="G78" s="1">
        <f t="shared" si="13"/>
        <v>0.98857142857142855</v>
      </c>
      <c r="H78" s="1">
        <f t="shared" si="14"/>
        <v>0</v>
      </c>
      <c r="I78">
        <v>72</v>
      </c>
      <c r="J78">
        <v>5</v>
      </c>
      <c r="K78">
        <v>248</v>
      </c>
      <c r="L78">
        <v>567</v>
      </c>
      <c r="M78">
        <v>918</v>
      </c>
      <c r="N78">
        <v>2</v>
      </c>
      <c r="O78">
        <v>1736</v>
      </c>
      <c r="P78" s="2">
        <v>0</v>
      </c>
    </row>
    <row r="79" spans="1:16">
      <c r="A79" t="s">
        <v>15</v>
      </c>
      <c r="B79">
        <f>SUM(B74:B78)/5</f>
        <v>500</v>
      </c>
      <c r="C79">
        <f t="shared" ref="C79:E79" si="24">SUM(C74:C78)/5</f>
        <v>32.200000000000003</v>
      </c>
      <c r="D79">
        <f t="shared" si="24"/>
        <v>3467.8</v>
      </c>
      <c r="E79">
        <f t="shared" si="24"/>
        <v>0</v>
      </c>
      <c r="F79" s="1">
        <f t="shared" si="21"/>
        <v>1</v>
      </c>
      <c r="G79" s="1">
        <f t="shared" si="13"/>
        <v>0.99080000000000001</v>
      </c>
      <c r="H79" s="1">
        <f t="shared" si="14"/>
        <v>0</v>
      </c>
      <c r="I79">
        <f>SUM(I74:I78)/5</f>
        <v>52.4</v>
      </c>
      <c r="J79">
        <f t="shared" ref="J79:P79" si="25">SUM(J74:J78)/5</f>
        <v>5.2</v>
      </c>
      <c r="K79">
        <f t="shared" si="25"/>
        <v>152.6</v>
      </c>
      <c r="L79">
        <f t="shared" si="25"/>
        <v>469.4</v>
      </c>
      <c r="M79">
        <f t="shared" si="25"/>
        <v>697.6</v>
      </c>
      <c r="N79">
        <f t="shared" si="25"/>
        <v>2.4</v>
      </c>
      <c r="O79">
        <f t="shared" si="25"/>
        <v>1370.2</v>
      </c>
      <c r="P79" s="4">
        <f t="shared" si="25"/>
        <v>0</v>
      </c>
    </row>
    <row r="90" spans="6:9">
      <c r="F90" s="5"/>
      <c r="G90" s="5"/>
      <c r="H90" s="5"/>
      <c r="I90" s="7"/>
    </row>
    <row r="91" spans="6:9">
      <c r="F91" s="5"/>
      <c r="G91" s="1"/>
      <c r="H91" s="1"/>
    </row>
    <row r="92" spans="6:9">
      <c r="F92" s="6"/>
      <c r="G92" s="1"/>
      <c r="H92" s="1"/>
    </row>
    <row r="93" spans="6:9">
      <c r="F93" s="6"/>
      <c r="G93" s="1"/>
      <c r="H93" s="1"/>
    </row>
    <row r="94" spans="6:9">
      <c r="F94" s="6"/>
      <c r="G94" s="1"/>
      <c r="H94" s="1"/>
    </row>
    <row r="95" spans="6:9">
      <c r="F95" s="6"/>
      <c r="G95" s="1"/>
      <c r="H95" s="1"/>
    </row>
    <row r="96" spans="6:9">
      <c r="F96" s="5"/>
      <c r="G96" s="5"/>
      <c r="H96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B6BE-17DE-49F7-BB7C-E5C00B18D659}">
  <dimension ref="A1:D7"/>
  <sheetViews>
    <sheetView workbookViewId="0">
      <selection activeCell="E8" sqref="E8"/>
    </sheetView>
  </sheetViews>
  <sheetFormatPr defaultRowHeight="17"/>
  <cols>
    <col min="1" max="1" width="14.26953125" bestFit="1" customWidth="1"/>
    <col min="2" max="3" width="12.08984375" bestFit="1" customWidth="1"/>
    <col min="4" max="4" width="14.26953125" bestFit="1" customWidth="1"/>
  </cols>
  <sheetData>
    <row r="1" spans="1:4">
      <c r="A1" s="5" t="s">
        <v>33</v>
      </c>
      <c r="B1" s="5" t="s">
        <v>26</v>
      </c>
      <c r="C1" s="5" t="s">
        <v>27</v>
      </c>
      <c r="D1" s="7" t="s">
        <v>36</v>
      </c>
    </row>
    <row r="2" spans="1:4">
      <c r="A2" s="5" t="s">
        <v>28</v>
      </c>
      <c r="B2" s="1">
        <v>0.13600000000000001</v>
      </c>
      <c r="C2" s="1">
        <v>0.34300000000000003</v>
      </c>
      <c r="D2" t="s">
        <v>34</v>
      </c>
    </row>
    <row r="3" spans="1:4">
      <c r="A3" s="6" t="s">
        <v>29</v>
      </c>
      <c r="B3" s="1">
        <v>2.7E-2</v>
      </c>
      <c r="C3" s="1">
        <v>0.35899999999999999</v>
      </c>
    </row>
    <row r="4" spans="1:4">
      <c r="A4" s="6" t="s">
        <v>30</v>
      </c>
      <c r="B4" s="1">
        <v>6.0000000000000001E-3</v>
      </c>
      <c r="C4" s="1">
        <v>8.7999999999999995E-2</v>
      </c>
    </row>
    <row r="5" spans="1:4">
      <c r="A5" s="6" t="s">
        <v>31</v>
      </c>
      <c r="B5" s="1">
        <v>2E-3</v>
      </c>
      <c r="C5" s="1">
        <v>3.0000000000000001E-3</v>
      </c>
    </row>
    <row r="6" spans="1:4">
      <c r="A6" s="6" t="s">
        <v>32</v>
      </c>
      <c r="B6" s="1">
        <v>0</v>
      </c>
      <c r="C6" s="1">
        <v>0</v>
      </c>
      <c r="D6" t="s">
        <v>35</v>
      </c>
    </row>
    <row r="7" spans="1:4">
      <c r="A7" s="5" t="s">
        <v>36</v>
      </c>
      <c r="B7" s="5" t="s">
        <v>35</v>
      </c>
      <c r="C7" s="5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Hong</dc:creator>
  <cp:lastModifiedBy>Joe Hong</cp:lastModifiedBy>
  <dcterms:created xsi:type="dcterms:W3CDTF">2026-05-08T06:26:07Z</dcterms:created>
  <dcterms:modified xsi:type="dcterms:W3CDTF">2026-05-11T05:47:45Z</dcterms:modified>
</cp:coreProperties>
</file>