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_PLUS_PLUS\OneDrive - 國立宜蘭大學\桌面\"/>
    </mc:Choice>
  </mc:AlternateContent>
  <xr:revisionPtr revIDLastSave="0" documentId="13_ncr:1_{59FED1C3-EC8D-4B6C-9B94-A84CC2F60702}" xr6:coauthVersionLast="47" xr6:coauthVersionMax="47" xr10:uidLastSave="{00000000-0000-0000-0000-000000000000}"/>
  <bookViews>
    <workbookView xWindow="-110" yWindow="-110" windowWidth="19420" windowHeight="11500" xr2:uid="{BC0EDEA5-37B7-43E3-8396-BE77F8F5D74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3" i="1" l="1"/>
  <c r="G23" i="1"/>
  <c r="H23" i="1"/>
  <c r="I23" i="1"/>
  <c r="J23" i="1"/>
  <c r="K23" i="1"/>
  <c r="L23" i="1"/>
  <c r="N23" i="1"/>
  <c r="F23" i="1"/>
  <c r="C23" i="1"/>
  <c r="G15" i="1"/>
  <c r="H15" i="1"/>
  <c r="I15" i="1"/>
  <c r="J15" i="1"/>
  <c r="K15" i="1"/>
  <c r="L15" i="1"/>
  <c r="M15" i="1"/>
  <c r="N15" i="1"/>
  <c r="F15" i="1"/>
  <c r="C15" i="1"/>
  <c r="N7" i="1"/>
  <c r="L7" i="1"/>
  <c r="G7" i="1"/>
  <c r="H7" i="1"/>
  <c r="I7" i="1"/>
  <c r="J7" i="1"/>
  <c r="K7" i="1"/>
  <c r="M7" i="1"/>
  <c r="F7" i="1"/>
  <c r="C7" i="1"/>
  <c r="E23" i="1"/>
  <c r="E15" i="1"/>
  <c r="E7" i="1"/>
  <c r="E19" i="1"/>
  <c r="E20" i="1"/>
  <c r="E21" i="1"/>
  <c r="E22" i="1"/>
  <c r="E18" i="1"/>
  <c r="E14" i="1"/>
  <c r="D19" i="1"/>
  <c r="D20" i="1"/>
  <c r="D21" i="1"/>
  <c r="D22" i="1"/>
  <c r="D11" i="1"/>
  <c r="D12" i="1"/>
  <c r="D13" i="1"/>
  <c r="D14" i="1"/>
  <c r="D3" i="1"/>
  <c r="D4" i="1"/>
  <c r="D5" i="1"/>
  <c r="D6" i="1"/>
  <c r="E11" i="1"/>
  <c r="E12" i="1"/>
  <c r="E13" i="1"/>
  <c r="E10" i="1"/>
  <c r="E6" i="1"/>
  <c r="D23" i="1"/>
  <c r="D15" i="1"/>
  <c r="D7" i="1"/>
  <c r="D18" i="1"/>
  <c r="D10" i="1"/>
  <c r="B23" i="1"/>
  <c r="B15" i="1"/>
  <c r="B7" i="1"/>
  <c r="E3" i="1"/>
  <c r="E4" i="1"/>
  <c r="E5" i="1"/>
  <c r="E2" i="1"/>
  <c r="D2" i="1"/>
</calcChain>
</file>

<file path=xl/sharedStrings.xml><?xml version="1.0" encoding="utf-8"?>
<sst xmlns="http://schemas.openxmlformats.org/spreadsheetml/2006/main" count="19" uniqueCount="17">
  <si>
    <t>平均</t>
    <phoneticPr fontId="1" type="noConversion"/>
  </si>
  <si>
    <t>exponential backoff</t>
    <phoneticPr fontId="1" type="noConversion"/>
  </si>
  <si>
    <t>exponential backoff+jitter</t>
    <phoneticPr fontId="1" type="noConversion"/>
  </si>
  <si>
    <t>SUCCESS</t>
    <phoneticPr fontId="1" type="noConversion"/>
  </si>
  <si>
    <t>CONFLICT_TRY_AGAIN</t>
    <phoneticPr fontId="1" type="noConversion"/>
  </si>
  <si>
    <t>成功發出優惠券比例(SUCCESS/Issue)</t>
    <phoneticPr fontId="1" type="noConversion"/>
  </si>
  <si>
    <t>衝突狀況(CONFLICT_TRY_AGAIN/request)</t>
    <phoneticPr fontId="1" type="noConversion"/>
  </si>
  <si>
    <t>average_latency</t>
    <phoneticPr fontId="1" type="noConversion"/>
  </si>
  <si>
    <t>median_latency</t>
    <phoneticPr fontId="1" type="noConversion"/>
  </si>
  <si>
    <t>90%_latency</t>
    <phoneticPr fontId="1" type="noConversion"/>
  </si>
  <si>
    <t>95%_latency</t>
    <phoneticPr fontId="1" type="noConversion"/>
  </si>
  <si>
    <t>99%_latency</t>
    <phoneticPr fontId="1" type="noConversion"/>
  </si>
  <si>
    <t>min_latency</t>
    <phoneticPr fontId="1" type="noConversion"/>
  </si>
  <si>
    <t>max_latency</t>
    <phoneticPr fontId="1" type="noConversion"/>
  </si>
  <si>
    <t>error rate</t>
    <phoneticPr fontId="1" type="noConversion"/>
  </si>
  <si>
    <t>throughtput</t>
    <phoneticPr fontId="1" type="noConversion"/>
  </si>
  <si>
    <t>backoff+jitter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</si>
</sst>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left" vertical="center" indent="2"/>
    </xf>
    <xf numFmtId="0" fontId="0" fillId="0" borderId="0" xfId="0" applyAlignment="1">
      <alignment horizontal="right" vertical="center"/>
    </xf>
    <xf numFmtId="176" fontId="0" fillId="0" borderId="0" xfId="1" applyNumberFormat="1" applyFont="1">
      <alignment vertical="center"/>
    </xf>
    <xf numFmtId="0" fontId="0" fillId="0" borderId="0" xfId="1" applyNumberFormat="1" applyFont="1">
      <alignment vertical="center"/>
    </xf>
    <xf numFmtId="9" fontId="0" fillId="0" borderId="0" xfId="1" applyFont="1">
      <alignment vertical="center"/>
    </xf>
    <xf numFmtId="0" fontId="3" fillId="0" borderId="0" xfId="0" applyFont="1" applyAlignment="1">
      <alignment horizontal="right" vertical="center" indent="2"/>
    </xf>
    <xf numFmtId="9" fontId="0" fillId="0" borderId="0" xfId="1" applyFont="1" applyAlignment="1">
      <alignment horizontal="right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B26E-ECE0-46EF-A6DB-8089D725E489}">
  <dimension ref="A1:N24"/>
  <sheetViews>
    <sheetView tabSelected="1" zoomScale="70" zoomScaleNormal="70" workbookViewId="0">
      <selection activeCell="D10" sqref="D10"/>
    </sheetView>
  </sheetViews>
  <sheetFormatPr defaultRowHeight="17" x14ac:dyDescent="0.4"/>
  <cols>
    <col min="1" max="1" width="23.81640625" customWidth="1"/>
    <col min="2" max="2" width="10.7265625" customWidth="1"/>
    <col min="3" max="3" width="26.7265625" style="2" bestFit="1" customWidth="1"/>
    <col min="4" max="4" width="39.453125" bestFit="1" customWidth="1"/>
    <col min="5" max="5" width="45" bestFit="1" customWidth="1"/>
    <col min="6" max="6" width="15.26953125" style="2" bestFit="1" customWidth="1"/>
    <col min="7" max="7" width="14.7265625" style="2" bestFit="1" customWidth="1"/>
    <col min="8" max="10" width="12.26953125" bestFit="1" customWidth="1"/>
    <col min="11" max="11" width="11.6328125" bestFit="1" customWidth="1"/>
    <col min="12" max="12" width="12" bestFit="1" customWidth="1"/>
    <col min="13" max="13" width="9" bestFit="1" customWidth="1"/>
    <col min="14" max="14" width="11" bestFit="1" customWidth="1"/>
    <col min="15" max="15" width="9" bestFit="1" customWidth="1"/>
  </cols>
  <sheetData>
    <row r="1" spans="1:14" x14ac:dyDescent="0.4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4">
      <c r="A2" t="s">
        <v>16</v>
      </c>
      <c r="B2">
        <v>97</v>
      </c>
      <c r="C2" s="2">
        <v>3</v>
      </c>
      <c r="D2" s="5">
        <f>B2/100</f>
        <v>0.97</v>
      </c>
      <c r="E2" s="5">
        <f>C2/100</f>
        <v>0.03</v>
      </c>
      <c r="F2" s="2">
        <v>154</v>
      </c>
      <c r="G2" s="2">
        <v>102</v>
      </c>
      <c r="H2" s="2">
        <v>404</v>
      </c>
      <c r="I2" s="2">
        <v>448</v>
      </c>
      <c r="J2" s="4">
        <v>499</v>
      </c>
      <c r="K2" s="2">
        <v>7</v>
      </c>
      <c r="L2" s="2">
        <v>503</v>
      </c>
      <c r="M2" s="7">
        <v>0</v>
      </c>
      <c r="N2" s="4">
        <v>100</v>
      </c>
    </row>
    <row r="3" spans="1:14" x14ac:dyDescent="0.4">
      <c r="B3">
        <v>100</v>
      </c>
      <c r="C3" s="2">
        <v>0</v>
      </c>
      <c r="D3" s="5">
        <f t="shared" ref="D3:D6" si="0">B3/100</f>
        <v>1</v>
      </c>
      <c r="E3" s="5">
        <f t="shared" ref="E3:E6" si="1">C3/100</f>
        <v>0</v>
      </c>
      <c r="F3" s="2">
        <v>11</v>
      </c>
      <c r="G3" s="2">
        <v>10</v>
      </c>
      <c r="H3" s="2">
        <v>11</v>
      </c>
      <c r="I3" s="2">
        <v>12</v>
      </c>
      <c r="J3" s="4">
        <v>33</v>
      </c>
      <c r="K3" s="2">
        <v>7</v>
      </c>
      <c r="L3" s="2">
        <v>115</v>
      </c>
      <c r="M3" s="7">
        <v>0</v>
      </c>
      <c r="N3" s="4">
        <v>100</v>
      </c>
    </row>
    <row r="4" spans="1:14" x14ac:dyDescent="0.4">
      <c r="B4">
        <v>87</v>
      </c>
      <c r="C4" s="2">
        <v>13</v>
      </c>
      <c r="D4" s="5">
        <f t="shared" si="0"/>
        <v>0.87</v>
      </c>
      <c r="E4" s="5">
        <f t="shared" si="1"/>
        <v>0.13</v>
      </c>
      <c r="F4" s="2">
        <v>122</v>
      </c>
      <c r="G4" s="2">
        <v>69</v>
      </c>
      <c r="H4" s="2">
        <v>326</v>
      </c>
      <c r="I4" s="2">
        <v>370</v>
      </c>
      <c r="J4" s="4">
        <v>399</v>
      </c>
      <c r="K4" s="2">
        <v>21</v>
      </c>
      <c r="L4" s="2">
        <v>421</v>
      </c>
      <c r="M4" s="7">
        <v>0</v>
      </c>
      <c r="N4" s="4">
        <v>89</v>
      </c>
    </row>
    <row r="5" spans="1:14" x14ac:dyDescent="0.4">
      <c r="B5">
        <v>100</v>
      </c>
      <c r="C5" s="2">
        <v>0</v>
      </c>
      <c r="D5" s="5">
        <f t="shared" si="0"/>
        <v>1</v>
      </c>
      <c r="E5" s="5">
        <f t="shared" si="1"/>
        <v>0</v>
      </c>
      <c r="F5" s="2">
        <v>26</v>
      </c>
      <c r="G5" s="2">
        <v>17</v>
      </c>
      <c r="H5" s="2">
        <v>28</v>
      </c>
      <c r="I5" s="2">
        <v>103</v>
      </c>
      <c r="J5" s="2">
        <v>131</v>
      </c>
      <c r="K5" s="2">
        <v>12</v>
      </c>
      <c r="L5" s="2">
        <v>247</v>
      </c>
      <c r="M5" s="7">
        <v>0</v>
      </c>
      <c r="N5" s="4">
        <v>94</v>
      </c>
    </row>
    <row r="6" spans="1:14" x14ac:dyDescent="0.4">
      <c r="B6">
        <v>100</v>
      </c>
      <c r="C6" s="2">
        <v>0</v>
      </c>
      <c r="D6" s="5">
        <f t="shared" si="0"/>
        <v>1</v>
      </c>
      <c r="E6" s="5">
        <f>C6/100</f>
        <v>0</v>
      </c>
      <c r="F6" s="2">
        <v>20</v>
      </c>
      <c r="G6" s="2">
        <v>15</v>
      </c>
      <c r="H6" s="2">
        <v>20</v>
      </c>
      <c r="I6" s="2">
        <v>27</v>
      </c>
      <c r="J6" s="4">
        <v>144</v>
      </c>
      <c r="K6" s="2">
        <v>12</v>
      </c>
      <c r="L6" s="2">
        <v>262</v>
      </c>
      <c r="M6" s="7">
        <v>0</v>
      </c>
      <c r="N6" s="4">
        <v>95</v>
      </c>
    </row>
    <row r="7" spans="1:14" x14ac:dyDescent="0.4">
      <c r="A7" t="s">
        <v>0</v>
      </c>
      <c r="B7">
        <f>SUM(B2:B6)/5</f>
        <v>96.8</v>
      </c>
      <c r="C7">
        <f>SUM(C2:C6)/5</f>
        <v>3.2</v>
      </c>
      <c r="D7" s="3">
        <f>SUM(D2:D6)/5</f>
        <v>0.96799999999999997</v>
      </c>
      <c r="E7" s="3">
        <f>SUM(E2:E6)/5</f>
        <v>3.2000000000000001E-2</v>
      </c>
      <c r="F7" s="2">
        <f>SUM(F2:F6)/5</f>
        <v>66.599999999999994</v>
      </c>
      <c r="G7" s="2">
        <f t="shared" ref="G7:M7" si="2">SUM(G2:G6)/5</f>
        <v>42.6</v>
      </c>
      <c r="H7" s="2">
        <f t="shared" si="2"/>
        <v>157.80000000000001</v>
      </c>
      <c r="I7" s="2">
        <f t="shared" si="2"/>
        <v>192</v>
      </c>
      <c r="J7" s="2">
        <f t="shared" si="2"/>
        <v>241.2</v>
      </c>
      <c r="K7" s="2">
        <f t="shared" si="2"/>
        <v>11.8</v>
      </c>
      <c r="L7" s="2">
        <f>SUM(L2:L6)/5</f>
        <v>309.60000000000002</v>
      </c>
      <c r="M7" s="7">
        <f t="shared" si="2"/>
        <v>0</v>
      </c>
      <c r="N7" s="4">
        <f>SUM(N2:N6)/5</f>
        <v>95.6</v>
      </c>
    </row>
    <row r="8" spans="1:14" x14ac:dyDescent="0.4">
      <c r="M8" s="6"/>
      <c r="N8" s="4"/>
    </row>
    <row r="9" spans="1:14" x14ac:dyDescent="0.4">
      <c r="M9" s="1"/>
      <c r="N9" s="4"/>
    </row>
    <row r="10" spans="1:14" x14ac:dyDescent="0.4">
      <c r="A10" t="s">
        <v>1</v>
      </c>
      <c r="B10">
        <v>79</v>
      </c>
      <c r="C10" s="2">
        <v>21</v>
      </c>
      <c r="D10" s="5">
        <f>B10/100</f>
        <v>0.79</v>
      </c>
      <c r="E10" s="5">
        <f>C10/100</f>
        <v>0.21</v>
      </c>
      <c r="F10" s="2">
        <v>707</v>
      </c>
      <c r="G10" s="2">
        <v>864</v>
      </c>
      <c r="H10" s="2">
        <v>1125</v>
      </c>
      <c r="I10" s="2">
        <v>1157</v>
      </c>
      <c r="J10" s="2">
        <v>1280</v>
      </c>
      <c r="K10" s="2">
        <v>16</v>
      </c>
      <c r="L10" s="2">
        <v>1287</v>
      </c>
      <c r="M10" s="7">
        <v>0</v>
      </c>
      <c r="N10" s="4">
        <v>53</v>
      </c>
    </row>
    <row r="11" spans="1:14" x14ac:dyDescent="0.4">
      <c r="B11">
        <v>96</v>
      </c>
      <c r="C11" s="2">
        <v>4</v>
      </c>
      <c r="D11" s="5">
        <f t="shared" ref="D11:D14" si="3">B11/100</f>
        <v>0.96</v>
      </c>
      <c r="E11" s="5">
        <f t="shared" ref="E11:E14" si="4">C11/100</f>
        <v>0.04</v>
      </c>
      <c r="F11" s="2">
        <v>49</v>
      </c>
      <c r="G11" s="2">
        <v>21</v>
      </c>
      <c r="H11" s="2">
        <v>121</v>
      </c>
      <c r="I11" s="2">
        <v>242</v>
      </c>
      <c r="J11" s="2">
        <v>296</v>
      </c>
      <c r="K11" s="2">
        <v>13</v>
      </c>
      <c r="L11" s="2">
        <v>319</v>
      </c>
      <c r="M11" s="7">
        <v>0</v>
      </c>
      <c r="N11" s="4">
        <v>97</v>
      </c>
    </row>
    <row r="12" spans="1:14" x14ac:dyDescent="0.4">
      <c r="B12">
        <v>99</v>
      </c>
      <c r="C12" s="2">
        <v>1</v>
      </c>
      <c r="D12" s="5">
        <f t="shared" si="3"/>
        <v>0.99</v>
      </c>
      <c r="E12" s="5">
        <f t="shared" si="4"/>
        <v>0.01</v>
      </c>
      <c r="F12" s="2">
        <v>27</v>
      </c>
      <c r="G12" s="2">
        <v>18</v>
      </c>
      <c r="H12" s="2">
        <v>32</v>
      </c>
      <c r="I12" s="2">
        <v>85</v>
      </c>
      <c r="J12" s="2">
        <v>246</v>
      </c>
      <c r="K12" s="2">
        <v>14</v>
      </c>
      <c r="L12" s="2">
        <v>251</v>
      </c>
      <c r="M12" s="7">
        <v>0</v>
      </c>
      <c r="N12" s="4">
        <v>91</v>
      </c>
    </row>
    <row r="13" spans="1:14" x14ac:dyDescent="0.4">
      <c r="B13">
        <v>100</v>
      </c>
      <c r="C13" s="2">
        <v>0</v>
      </c>
      <c r="D13" s="5">
        <f t="shared" si="3"/>
        <v>1</v>
      </c>
      <c r="E13" s="5">
        <f t="shared" si="4"/>
        <v>0</v>
      </c>
      <c r="F13" s="2">
        <v>19</v>
      </c>
      <c r="G13" s="2">
        <v>17</v>
      </c>
      <c r="H13" s="2">
        <v>19</v>
      </c>
      <c r="I13" s="2">
        <v>23</v>
      </c>
      <c r="J13" s="2">
        <v>91</v>
      </c>
      <c r="K13" s="2">
        <v>11</v>
      </c>
      <c r="L13" s="2">
        <v>96</v>
      </c>
      <c r="M13" s="7">
        <v>0</v>
      </c>
      <c r="N13" s="4">
        <v>98</v>
      </c>
    </row>
    <row r="14" spans="1:14" x14ac:dyDescent="0.4">
      <c r="B14">
        <v>99</v>
      </c>
      <c r="C14" s="2">
        <v>1</v>
      </c>
      <c r="D14" s="5">
        <f t="shared" si="3"/>
        <v>0.99</v>
      </c>
      <c r="E14" s="5">
        <f>C14/100</f>
        <v>0.01</v>
      </c>
      <c r="F14" s="2">
        <v>20</v>
      </c>
      <c r="G14" s="2">
        <v>16</v>
      </c>
      <c r="H14" s="2">
        <v>17</v>
      </c>
      <c r="I14" s="2">
        <v>21</v>
      </c>
      <c r="J14" s="2">
        <v>221</v>
      </c>
      <c r="K14" s="2">
        <v>10</v>
      </c>
      <c r="L14" s="2">
        <v>240</v>
      </c>
      <c r="M14" s="7">
        <v>0</v>
      </c>
      <c r="N14" s="4">
        <v>99</v>
      </c>
    </row>
    <row r="15" spans="1:14" x14ac:dyDescent="0.4">
      <c r="A15" t="s">
        <v>0</v>
      </c>
      <c r="B15">
        <f>SUM(B10:B14)/5</f>
        <v>94.6</v>
      </c>
      <c r="C15">
        <f>SUM(C10:C14)/5</f>
        <v>5.4</v>
      </c>
      <c r="D15" s="3">
        <f>SUM(D10:D14)/5</f>
        <v>0.94600000000000006</v>
      </c>
      <c r="E15" s="3">
        <f>SUM(E10:E14)/5</f>
        <v>5.4000000000000006E-2</v>
      </c>
      <c r="F15" s="2">
        <f>SUM(F10:F14)/5</f>
        <v>164.4</v>
      </c>
      <c r="G15" s="2">
        <f t="shared" ref="G15:N15" si="5">SUM(G10:G14)/5</f>
        <v>187.2</v>
      </c>
      <c r="H15" s="2">
        <f t="shared" si="5"/>
        <v>262.8</v>
      </c>
      <c r="I15" s="2">
        <f t="shared" si="5"/>
        <v>305.60000000000002</v>
      </c>
      <c r="J15" s="2">
        <f t="shared" si="5"/>
        <v>426.8</v>
      </c>
      <c r="K15" s="2">
        <f t="shared" si="5"/>
        <v>12.8</v>
      </c>
      <c r="L15" s="2">
        <f t="shared" si="5"/>
        <v>438.6</v>
      </c>
      <c r="M15" s="7">
        <f t="shared" si="5"/>
        <v>0</v>
      </c>
      <c r="N15" s="2">
        <f t="shared" si="5"/>
        <v>87.6</v>
      </c>
    </row>
    <row r="16" spans="1:14" x14ac:dyDescent="0.4">
      <c r="N16" s="4"/>
    </row>
    <row r="17" spans="1:14" x14ac:dyDescent="0.4">
      <c r="N17" s="4"/>
    </row>
    <row r="18" spans="1:14" x14ac:dyDescent="0.4">
      <c r="A18" t="s">
        <v>2</v>
      </c>
      <c r="B18">
        <v>100</v>
      </c>
      <c r="C18" s="2">
        <v>0</v>
      </c>
      <c r="D18" s="5">
        <f>B18/100</f>
        <v>1</v>
      </c>
      <c r="E18" s="5">
        <f>C18/100</f>
        <v>0</v>
      </c>
      <c r="F18" s="2">
        <v>14</v>
      </c>
      <c r="G18" s="2">
        <v>12</v>
      </c>
      <c r="H18" s="2">
        <v>17</v>
      </c>
      <c r="I18" s="2">
        <v>25</v>
      </c>
      <c r="J18" s="2">
        <v>39</v>
      </c>
      <c r="K18" s="2">
        <v>9</v>
      </c>
      <c r="L18" s="2">
        <v>76</v>
      </c>
      <c r="M18" s="7">
        <v>0</v>
      </c>
      <c r="N18" s="4">
        <v>100</v>
      </c>
    </row>
    <row r="19" spans="1:14" x14ac:dyDescent="0.4">
      <c r="B19">
        <v>100</v>
      </c>
      <c r="C19" s="2">
        <v>0</v>
      </c>
      <c r="D19" s="5">
        <f t="shared" ref="D19:D22" si="6">B19/100</f>
        <v>1</v>
      </c>
      <c r="E19" s="5">
        <f t="shared" ref="E19:E22" si="7">C19/100</f>
        <v>0</v>
      </c>
      <c r="F19" s="2">
        <v>18</v>
      </c>
      <c r="G19" s="2">
        <v>15</v>
      </c>
      <c r="H19" s="2">
        <v>22</v>
      </c>
      <c r="I19" s="2">
        <v>29</v>
      </c>
      <c r="J19" s="2">
        <v>55</v>
      </c>
      <c r="K19" s="2">
        <v>12</v>
      </c>
      <c r="L19" s="2">
        <v>156</v>
      </c>
      <c r="M19" s="7">
        <v>0</v>
      </c>
      <c r="N19" s="4">
        <v>99</v>
      </c>
    </row>
    <row r="20" spans="1:14" x14ac:dyDescent="0.4">
      <c r="B20">
        <v>100</v>
      </c>
      <c r="C20" s="2">
        <v>0</v>
      </c>
      <c r="D20" s="5">
        <f t="shared" si="6"/>
        <v>1</v>
      </c>
      <c r="E20" s="5">
        <f t="shared" si="7"/>
        <v>0</v>
      </c>
      <c r="F20" s="2">
        <v>15</v>
      </c>
      <c r="G20" s="2">
        <v>14</v>
      </c>
      <c r="H20" s="2">
        <v>17</v>
      </c>
      <c r="I20">
        <v>18</v>
      </c>
      <c r="J20" s="2">
        <v>32</v>
      </c>
      <c r="K20" s="2">
        <v>11</v>
      </c>
      <c r="L20" s="2">
        <v>73</v>
      </c>
      <c r="M20" s="7">
        <v>0</v>
      </c>
      <c r="N20" s="4">
        <v>99</v>
      </c>
    </row>
    <row r="21" spans="1:14" x14ac:dyDescent="0.4">
      <c r="B21">
        <v>99</v>
      </c>
      <c r="C21" s="2">
        <v>1</v>
      </c>
      <c r="D21" s="5">
        <f t="shared" si="6"/>
        <v>0.99</v>
      </c>
      <c r="E21" s="5">
        <f t="shared" si="7"/>
        <v>0.01</v>
      </c>
      <c r="F21" s="2">
        <v>15</v>
      </c>
      <c r="G21" s="2">
        <v>13</v>
      </c>
      <c r="H21" s="2">
        <v>22</v>
      </c>
      <c r="I21" s="2">
        <v>27</v>
      </c>
      <c r="J21" s="2">
        <v>31</v>
      </c>
      <c r="K21" s="2">
        <v>10</v>
      </c>
      <c r="L21" s="2">
        <v>105</v>
      </c>
      <c r="M21" s="7">
        <v>0</v>
      </c>
      <c r="N21" s="4">
        <v>100</v>
      </c>
    </row>
    <row r="22" spans="1:14" x14ac:dyDescent="0.4">
      <c r="B22">
        <v>100</v>
      </c>
      <c r="C22" s="2">
        <v>0</v>
      </c>
      <c r="D22" s="5">
        <f t="shared" si="6"/>
        <v>1</v>
      </c>
      <c r="E22" s="5">
        <f t="shared" si="7"/>
        <v>0</v>
      </c>
      <c r="F22" s="2">
        <v>12</v>
      </c>
      <c r="G22" s="2">
        <v>12</v>
      </c>
      <c r="H22" s="2">
        <v>15</v>
      </c>
      <c r="I22" s="2">
        <v>20</v>
      </c>
      <c r="J22" s="2">
        <v>28</v>
      </c>
      <c r="K22" s="2">
        <v>8</v>
      </c>
      <c r="L22" s="2">
        <v>30</v>
      </c>
      <c r="M22" s="7">
        <v>0</v>
      </c>
      <c r="N22" s="4">
        <v>100</v>
      </c>
    </row>
    <row r="23" spans="1:14" x14ac:dyDescent="0.4">
      <c r="A23" t="s">
        <v>0</v>
      </c>
      <c r="B23">
        <f>SUM(B18:B22)/5</f>
        <v>99.8</v>
      </c>
      <c r="C23">
        <f>SUM(C18:C22)/5</f>
        <v>0.2</v>
      </c>
      <c r="D23" s="3">
        <f>SUM(D18:D22)/5</f>
        <v>0.998</v>
      </c>
      <c r="E23" s="3">
        <f>SUM(E18:E22)/5</f>
        <v>2E-3</v>
      </c>
      <c r="F23" s="2">
        <f>SUM(F18:F22)/5</f>
        <v>14.8</v>
      </c>
      <c r="G23" s="2">
        <f t="shared" ref="G23:N23" si="8">SUM(G18:G22)/5</f>
        <v>13.2</v>
      </c>
      <c r="H23" s="2">
        <f t="shared" si="8"/>
        <v>18.600000000000001</v>
      </c>
      <c r="I23" s="2">
        <f t="shared" si="8"/>
        <v>23.8</v>
      </c>
      <c r="J23" s="2">
        <f t="shared" si="8"/>
        <v>37</v>
      </c>
      <c r="K23" s="2">
        <f t="shared" si="8"/>
        <v>10</v>
      </c>
      <c r="L23" s="2">
        <f t="shared" si="8"/>
        <v>88</v>
      </c>
      <c r="M23" s="7">
        <f t="shared" si="8"/>
        <v>0</v>
      </c>
      <c r="N23" s="2">
        <f t="shared" si="8"/>
        <v>99.6</v>
      </c>
    </row>
    <row r="24" spans="1:14" x14ac:dyDescent="0.4">
      <c r="N24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Hong</dc:creator>
  <cp:lastModifiedBy>Joe Hong</cp:lastModifiedBy>
  <dcterms:created xsi:type="dcterms:W3CDTF">2026-05-11T06:06:37Z</dcterms:created>
  <dcterms:modified xsi:type="dcterms:W3CDTF">2026-05-17T15:34:40Z</dcterms:modified>
</cp:coreProperties>
</file>